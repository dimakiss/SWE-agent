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ed Responses" sheetId="2" r:id="rId5"/>
  </sheets>
  <definedNames/>
  <calcPr/>
  <extLst>
    <ext uri="GoogleSheetsCustomDataVersion2">
      <go:sheetsCustomData xmlns:go="http://customooxmlschemas.google.com/" r:id="rId6" roundtripDataChecksum="me53m2HxkggHvuWrnn8fEKcBgGKwiTfxqaW9i4pjEbU="/>
    </ext>
  </extLst>
</workbook>
</file>

<file path=xl/sharedStrings.xml><?xml version="1.0" encoding="utf-8"?>
<sst xmlns="http://schemas.openxmlformats.org/spreadsheetml/2006/main" count="525" uniqueCount="200">
  <si>
    <t>Title</t>
  </si>
  <si>
    <t>Link</t>
  </si>
  <si>
    <t>Acceptance</t>
  </si>
  <si>
    <t>Difficulty</t>
  </si>
  <si>
    <t>Average Pass Rate</t>
  </si>
  <si>
    <t>Variance</t>
  </si>
  <si>
    <t>Max Success Rate</t>
  </si>
  <si>
    <t>Median Success Rate</t>
  </si>
  <si>
    <t>Normalized Variance</t>
  </si>
  <si>
    <t>1255. Maximum Score Words Formed by Letters</t>
  </si>
  <si>
    <t>Hard</t>
  </si>
  <si>
    <t>3154. Find Number of Ways to Reach the K-th Stair</t>
  </si>
  <si>
    <t>3149. Find the Minimum Cost Array Permutation</t>
  </si>
  <si>
    <t>3145. Find Products of Elements of Big Array</t>
  </si>
  <si>
    <t>3139. Minimum Cost to Equalize Array</t>
  </si>
  <si>
    <t>3134. Find the Median of the Uniqueness Array</t>
  </si>
  <si>
    <t>3130. Find All Possible Stable Binary Arrays II</t>
  </si>
  <si>
    <t>3123. Find Edges in Shortest Paths</t>
  </si>
  <si>
    <t>3117. Minimum Sum of Values by Dividing Array</t>
  </si>
  <si>
    <t>3116. Kth Smallest Amount With Single Denomination Combination</t>
  </si>
  <si>
    <t>3113. Find the Number of Subarrays Where Boundary Elements Are Maximum</t>
  </si>
  <si>
    <t>3108. Minimum Cost Walk in Weighted Graph</t>
  </si>
  <si>
    <t>3102. Minimize Manhattan Distances</t>
  </si>
  <si>
    <t>3098. Find the Sum of Subsequence Powers</t>
  </si>
  <si>
    <t>3093. Longest Common Suffix Queries</t>
  </si>
  <si>
    <t>3086. Minimum Moves to Pick K Ones</t>
  </si>
  <si>
    <t>3082. Find the Sum of the Power of All Subsequences</t>
  </si>
  <si>
    <t>3077. Maximum Strength of K Disjoint Subarrays</t>
  </si>
  <si>
    <t>3072. Distribute Elements Into Two Arrays II</t>
  </si>
  <si>
    <t>3068. Find the Maximum Sum of Node Values</t>
  </si>
  <si>
    <t>3049. Earliest Second to Mark Indices II</t>
  </si>
  <si>
    <t>3045. Count Prefix and Suffix Pairs II</t>
  </si>
  <si>
    <t>3041. Maximize Consecutive Elements in an Array After Modification</t>
  </si>
  <si>
    <t>3036. Number of Subarrays That Match a Pattern II</t>
  </si>
  <si>
    <t>3031. Minimum Time to Revert Word to Initial State II</t>
  </si>
  <si>
    <t>3027. Find the Number of Ways to Place People II</t>
  </si>
  <si>
    <t>3022. Minimize OR of Remaining Elements Using Operations</t>
  </si>
  <si>
    <t>3017. Count the Number of Houses at a Certain Distance II</t>
  </si>
  <si>
    <t>3013. Divide an Array Into Subarrays With Minimum Cost II</t>
  </si>
  <si>
    <t>3008. Find Beautiful Indices in the Given Array II</t>
  </si>
  <si>
    <t>Response ID</t>
  </si>
  <si>
    <t>Response Code</t>
  </si>
  <si>
    <t>Test Cases Passed</t>
  </si>
  <si>
    <t>Total Test Cases</t>
  </si>
  <si>
    <t>Pass Rate</t>
  </si>
  <si>
    <t>Response 1</t>
  </si>
  <si>
    <t>from typing import List
class Solution:
    def maxScoreWords(self, words: List[str], letters: List[str], score: List[int]) -&gt; int:
        # Helper function to calculate the score of a word
        def word_score(word):
            return sum(score[ord(char) - ord('a')] for char in word)
        # Helper function to check if a word can be formed with the given letters
        def can_form_word(word, letter_count):
            word_count = Counter(word)
            for char in word_count:
                if letter_count[char] &lt; word_count[char]:
                    return False
            return True
        # Helper function to backtrack and find the maximum score
        def backtrack(index, letter_count):
            if index == len(words):
                return 0
            # Skip the current word
            max_score = backtrack(index + 1, letter_count)
            # Include the current word if it can be formed
            if can_form_word(words[index], letter_count):
                word_count = Counter(words[index])
                for char in word_count:
                    letter_count[char] -= word_count[char]
                max_score = max(max_score, word_score(words[index]) + backtrack(index + 1, letter_count))
                # Backtrack and undo the changes to letter_count
                for char in word_count:
                    letter_count[char] += word_count[char]
            return max_score
        # Initial letter count
        letter_count = Counter(letters)
        # Start backtracking from the first word
        return backtrack(0, letter_count)
# Example usage:
solution = Solution()
print(solution.maxScoreWords(["dog","cat","dad","good"], ["a","a","c","d","d","d","g","o","o"], [1,0,9,5,0,0,3,0,0,0,0,0,0,0,2,0,0,0,0,0,0,0,0,0,0,0]))  # Output: 23</t>
  </si>
  <si>
    <t>Response 2</t>
  </si>
  <si>
    <t>from typing import List
from collections import Counter
class Solution:
    def maxScoreWords(self, words: List[str], letters: List[str], score: List[int]) -&gt; int:
        # Helper function to calculate the score of a word
        def word_score(word):
            return sum(score[ord(char) - ord('a')] for char in word)
        # Helper function for backtracking
        def backtrack(index, curr_score, letter_count):
            nonlocal max_score
            # Update max_score if the current score is higher
            max_score = max(max_score, curr_score)
            # Base case: if we've considered all words, return
            if index == len(words):
                return
            # Recursive case: try to include or exclude each word
            for i in range(index, len(words)):
                word = words[i]
                # Check if we can form the current word with the remaining letters
                can_form_word = True
                for char in word:
                    if word_counter[char] &gt; letter_count[char]:
                        can_form_word = False
                        break
                # If we can form the word, include it and backtrack
                if can_form_word:
                    for char in word:
                        letter_count[char] -= 1
                    backtrack(i + 1, curr_score + word_score(word), letter_count)
                    for char in word:
                        letter_count[char] += 1
                # Exclude the word and move to the next one
                backtrack(i + 1, curr_score, letter_count)
        # Initialize variables
        letter_count = Counter(letters)
        word_counter = Counter()
        max_score = 0
        # Start backtracking from the first word
        backtrack(0, 0, letter_count)
        return max_score
# Example usage:
solution = Solution()
print(solution.maxScoreWords(["dog","cat","dad","good"], ["a","a","c","d","d","d","g","o","o"], [1,0,9,5,0,0,3,0,0,0,0,0,0,0,2,0,0,0,0,0,0,0,0,0,0,0]))  # Output: 23</t>
  </si>
  <si>
    <t>Response 3</t>
  </si>
  <si>
    <t>from typing import List
class Solution:
    def maxScoreWords(self, words: List[str], letters: List[str], score: List[int]) -&gt; int:
        # Count the frequency of each letter in the given letters list
        letter_count = {letter: letters.count(letter) for letter in set(letters)}
        # Function to calculate the score of a word based on the given scores
        def word_score(word):
            return sum(score[ord(char) - ord('a')] for char in word)
        # Function to check if a word can be formed with the remaining letters
        def can_form_word(word, remaining_letters):
            for char in word:
                if word.count(char) &gt; remaining_letters.get(char, 0):
                    return False
            return True
        # Backtracking function to try all combinations of words
        def backtrack(index, remaining_letters, current_score):
            if index == len(words):
                return current_score
            max_score = current_score
            # Try to include the current word
            if can_form_word(words[index], remaining_letters):
                # Update the remaining letters after including the current word
                new_remaining_letters = remaining_letters.copy()
                for char in words[index]:
                    new_remaining_letters[char] -= 1
                # Include the current word and move to the next
                max_score = max(max_score, backtrack(index + 1, new_remaining_letters, current_score + word_score(words[index])))
            # Skip the current word and move to the next
            max_score = max(max_score, backtrack(index + 1, remaining_letters, current_score))
            return max_score
        # Start backtracking from the first word
        return backtrack(0, letter_count, 0)
# Example usage:
solution = Solution()
words = ["dog","cat","dad","good"]
letters = ["a","a","c","d","d","d","g","o","o"]
score = [1,0,9,5,0,0,3,0,0,0,0,0,0,0,2,0,0,0,0,0,0,0,0,0,0,0]
print(solution.maxScoreWords(words, letters, score))  # Output: 23</t>
  </si>
  <si>
    <t>Response 4</t>
  </si>
  <si>
    <t>from typing import List
class Solution:
    def maxScoreWords(self, words: List[str], letters: List[str], score: List[int]) -&gt; int:
        # Helper function to calculate the score of a word
        def word_score(word):
            return sum(score[ord(char) - ord('a')] for char in word)
        # Helper function to check if the word can be formed with the remaining letters
        def can_form_word(word, letter_count):
            temp_count = letter_count.copy()
            for char in word:
                if temp_count[char] == 0:
                    return False
                temp_count[char] -= 1
            return True
        # Helper function for backtracking
        def backtrack(index, current_score):
            nonlocal max_score
            # Update the maximum score if the current score is greater
            max_score = max(max_score, current_score)
            # If we've reached the end of the words list, return
            if index == len(words):
                return
            # Try to include the current word
            if can_form_word(words[index], letter_count):
                for char in words[index]:
                    letter_count[char] -= 1
                # Recur with the next word and updated score
                backtrack(index + 1, current_score + word_score(words[index]))
                # Backtrack and undo the choice
                for char in words[index]:
                    letter_count[char] += 1
            # Try to exclude the current word and move to the next word
            backtrack(index + 1, current_score)
        # Count the occurrence of each letter in the given letters list
        letter_count = {char: 0 for char in 'abcdefghijklmnopqrstuvwxyz'}
        for char in letters:
            letter_count[char] += 1
        # Initialize the maximum score as 0
        max_score = 0
        # Start backtracking from the first word
        backtrack(0, 0)
        return max_score
# Example usage:
solution = Solution()
print(solution.maxScoreWords(["dog","cat","dad","good"], ["a","a","c","d","d","d","g","o","o"], [1,0,9,5,0,0,3,0,0,0,0,0,0,0,2,0,0,0,0,0,0,0,0,0,0,0])) # Output: 23
print(solution.maxScoreWords(["xxxz","ax","bx","cx"], ["z","a","b","c","x","x","x"], [4,4,4,0,0,0,0,0,0,0,0,0,0,0,0,0,0,0,0,0,0,0,0,5,0,10])) # Output: 27
print(solution.maxScoreWords(["leetcode"], ["l","e","t","c","o","d"], [0,0,1,1,1,0,0,0,0,0,0,1,0,0,1,0,0,0,0,1,0,0,0,0,0,0])) # Output: 0</t>
  </si>
  <si>
    <t>Response 5</t>
  </si>
  <si>
    <t>from typing import List
class Solution:
    def maxScoreWords(self, words: List[str], letters: List[str], score: List[int]) -&gt; int:
        # Helper function to calculate the score of a word
        def word_score(word):
            return sum(score[ord(c) - ord('a')] for c in word)
        # Helper function to check if the word can be formed with the remaining letters
        def can_form_word(word, letter_count):
            temp_count = letter_count.copy()
            for c in word:
                if temp_count[c] &lt;= 0:
                    return False
                temp_count[c] -= 1
            return True
        # Helper function for backtracking
        def backtrack(index, letter_count, current_score):
            if index == len(words):
                return current_score
            max_score = current_score
            # Try to include the word at the current index
            if can_form_word(words[index], letter_count):
                for c in words[index]:
                    letter_count[c] -= 1
                max_score = max(max_score, backtrack(index + 1, letter_count, current_score + word_score(words[index])))
                for c in words[index]:
                    letter_count[c] += 1
            # Skip the current word
            max_score = max(max_score, backtrack(index + 1, letter_count, current_score))
            return max_score
        # Create a dictionary to count the occurrence of each letter
        letter_count = {c: 0 for c in 'abcdefghijklmnopqrstuvwxyz'}
        for c in letters:
            letter_count[c] += 1
        # Start backtracking from the first word
        return backtrack(0, letter_count, 0)
# Example usage:
sol = Solution()
print(sol.maxScoreWords(["dog","cat","dad","good"], ["a","a","c","d","d","d","g","o","o"], [1,0,9,5,0,0,3,0,0,0,0,0,0,0,2,0,0,0,0,0,0,0,0,0,0,0])) # Output: 23
print(sol.maxScoreWords(["xxxz","ax","bx","cx"], ["z","a","b","c","x","x","x"], [4,4,4,0,0,0,0,0,0,0,0,0,0,0,0,0,0,0,0,0,0,0,0,5,0,10])) # Output: 27
print(sol.maxScoreWords(["leetcode"], ["l","e","t","c","o","d"], [0,0,1,1,1,0,0,0,0,0,0,1,0,0,1,0,0,0,0,1,0,0,0,0,0,0])) # Output: 0</t>
  </si>
  <si>
    <t>class Solution:
    def waysToReachStair(self, k: int) -&gt; int:
        MOD = 10**9 + 7
        # Base case: If k is 0, there are two ways to reach stair 0 (up and down or just stay).
        if k == 0:
            return 2
        # Convert k to binary representation to find the pattern
        binary_k = bin(k)[2:]
        # Count the number of ways based on the binary representation of k
        # Every '1' in the binary representation contributes to two possibilities: 
        # either going past it and coming back, or reaching it directly.
        # Every '0' after the first '1' contributes to only one possibility: reaching it directly.
        ways = 1
        for bit in binary_k:
            ways *= 2 if bit == '1' else 1
            ways %= MOD
        return ways
# Example usage:
sol = Solution()
print(sol.waysToReachStair(0))  # Output: 2
print(sol.waysToReachStair(1))  # Output: 4</t>
  </si>
  <si>
    <t>class Solution:
    def waysToReachStair(self, k: int) -&gt; int:
        MOD = 10**9 + 7  # The answer should be returned modulo 10^9 + 7
        # Convert k to binary representation
        binary_k = bin(k)[2:]
        # The number of ways to reach the first stair is 2 (up or down)
        ways = 2
        zeros_count = 0
        # Iterate through the binary representation of k, starting from the second bit
        for bit in binary_k[1:]:
            if bit == '0':
                # Count the number of zeros between ones
                zeros_count += 1
            else:
                # For each '1', the number of ways is doubled (up or down)
                # Additionally, we multiply by 2 for each zero between ones
                ways = (ways * (2 ** (zeros_count + 1))) % MOD
                zeros_count = 0
        return ways
# Example usage:
sol = Solution()
print(sol.waysToReachStair(0))  # Output: 2
print(sol.waysToReachStair(1))  # Output: 4</t>
  </si>
  <si>
    <t>class Solution:
    def waysToReachStair(self, k: int) -&gt; int:
        # Use memoization to store the results of subproblems
        memo = {}
        def dp(x):
            # Base case: if we are at stair 0, there is 1 way to stay there
            if x == 0:
                return 1
            # If we have computed the number of ways to reach this stair before, return the result
            if x in memo:
                return memo[x]
            # Initialize the number of ways to reach the current stair
            total_ways = 0
            # If we can move up, calculate the number of ways to reach the current stair from the previous stair
            if x % 2 == 0:
                total_ways += dp(x // 2)
            # Calculate the number of ways to reach the current stair by moving down from the next stair
            total_ways += dp(x - 1)
            # Store the result in the memo dictionary
            memo[x] = total_ways % 1000000007  # Modulo operation for large numbers
            return memo[x]
        # Start the recursive function from stair k
        return dp(k)
# Example usage:
sol = Solution()
print(sol.waysToReachStair(0))  # Output: 2
print(sol.waysToReachStair(1))  # Output: 4</t>
  </si>
  <si>
    <t>class Solution:
    def waysToReachStair(self, k: int) -&gt; int:
        # Convert k to binary and add a leading '1' to represent the starting stair 1
        binary_k = '1' + bin(k)[2:]
        # The number of ways to reach stair k is 2^(the number of 1's in the binary representation)
        # because for each '1', Alice has two choices: to jump directly to that stair or not.
        # The total number of ways is the product of choices for each '1'.
        num_ways = 2 ** binary_k.count('1')
        # Return the total number of ways modulo 10^9 + 7 to prevent integer overflow
        return num_ways % (10**9 + 7)
# Example usage:
sol = Solution()
print(sol.waysToReachStair(0))  # Output: 2
print(sol.waysToReachStair(1))  # Output: 4</t>
  </si>
  <si>
    <t>class Solution:
    def waysToReachStair(self, k: int) -&gt; int:
        # The number of ways to reach the current stair
        ways = 1
        # The number of ways to reach the previous stair
        prev_ways = 0
        MOD = 10**9 + 7
        while k &gt; 0:
            # If the current bit is set (i.e., the least significant bit of k is 1),
            # we can reach this stair by using an operation of the second type.
            if k &amp; 1:
                # Update the number of ways to reach the current stair
                # by adding the number of ways to reach the previous stair.
                ways += prev_ways
                ways %= MOD
            # Update the number of ways to reach the previous stair
            # by doubling it (since we can either move to the next bit or stay at the current bit).
            prev_ways = (2 * prev_ways + ways) % MOD
            # Right shift k to process the next bit
            k &gt;&gt;= 1
        return ways % MOD
# Example usage:
sol = Solution()
print(sol.waysToReachStair(0))  # Output: 2
print(sol.waysToReachStair(1))  # Output: 4</t>
  </si>
  <si>
    <t>from itertools import permutations
class Solution:
    def findPermutation(self, nums: List[int]) -&gt; List[int]:
        n = len(nums)
        min_score = float('inf')
        min_perm = None
        # Function to calculate the score of a permutation
        def calculate_score(perm):
            score = 0
            for i in range(n):
                score += abs(perm[i] - nums[perm[(i + 1) % n]])
            return score
        # Generate all permutations and find the one with the minimum score
        for perm in permutations(range(n)):
            score = calculate_score(perm)
            if score &lt; min_score:
                min_score = score
                min_perm = perm
            elif score == min_score:
                # Check for lexicographically smaller permutation
                if perm &lt; min_perm:
                    min_perm = perm
        return list(min_perm)
# Example usage:
# sol = Solution()
# print(sol.findPermutation([1,0,2]))  # Output: [0,1,2]
# print(sol.findPermutation([0,2,1]))  # Output: [0,2,1]</t>
  </si>
  <si>
    <t>from itertools import permutations
class Solution:
    def findPermutation(self, nums: List[int]) -&gt; List[int]:
        n = len(nums)
        # Function to calculate the score of a permutation
        def calculate_score(perm):
            score = 0
            for i in range(n):
                score += abs(perm[i] - nums[perm[(i+1) % n]])
            return score
        # Generate all permutations of nums
        all_perms = permutations(range(n))
        # Initialize variables to keep track of the minimum score and corresponding permutation
        min_score = float('inf')
        min_perm = []
        # Evaluate each permutation
        for perm in all_perms:
            score = calculate_score(perm)
            # Update the minimum score and permutation if necessary
            if score &lt; min_score or (score == min_score and list(perm) &lt; min_perm):
                min_score = score
                min_perm = list(perm)
        return min_perm</t>
  </si>
  <si>
    <t>from typing import List
class Solution:
    def findPermutation(self, nums: List[int]) -&gt; List[int]:
        self.min_score = float('inf')
        self.min_perm = []
        n = len(nums)
        def calculate_score(perm):
            score = 0
            for i in range(n):
                score += abs(perm[i] - nums[perm[(i + 1) % n]])
            return score
        def backtrack(perm):
            if len(perm) == n:
                score = calculate_score(perm)
                if score &lt; self.min_score or (score == self.min_score and perm &lt; self.min_perm):
                    self.min_score = score
                    self.min_perm = perm.copy()
                return
            for i in range(n):
                if i not in perm:
                    perm.append(i)
                    backtrack(perm)
                    perm.pop()
        backtrack([])
        return self.min_perm
# Example usage:
# sol = Solution()
# print(sol.findPermutation([1,0,2]))  # Output: [0,1,2]
# print(sol.findPermutation([0,2,1]))  # Output: [0,2,1]</t>
  </si>
  <si>
    <t>from typing import List
class Solution:
    def findPermutation(self, nums: List[int]) -&gt; List[int]:
        n = len(nums)
        min_score = float('inf')
        min_perm = []
        def calculate_score(perm):
            score = 0
            for i in range(n):
                score += abs(perm[i] - nums[perm[(i + 1) % n]])
            return score
        def backtrack(perm):
            nonlocal min_score, min_perm
            if len(perm) == n:
                score = calculate_score(perm)
                if score &lt; min_score or (score == min_score and perm &lt; min_perm):
                    min_score = score
                    min_perm = perm.copy()
                return
            for i in range(n):
                if i not in perm:
                    perm.append(i)
                    backtrack(perm)
                    perm.pop()
        backtrack([])
        return min_perm
# Example usage:
# nums = [1,0,2]
# sol = Solution()
# print(sol.findPermutation(nums))  # Output: [0,1,2]</t>
  </si>
  <si>
    <t>from typing import List
class Solution:
    def findPermutation(self, nums: List[int]) -&gt; List[int]:
        def calculate_score(perm):
            score = 0
            for i in range(n):
                score += abs(perm[i] - nums[perm[(i + 1) % n]])
            return score
        def backtrack(index):
            if index == n:
                current_score = calculate_score(perm)
                nonlocal min_score, min_perm
                if current_score &lt; min_score or (current_score == min_score and perm &lt; min_perm):
                    min_score = current_score
                    min_perm = perm.copy()
                return
            for i in range(n):
                if not used[i]:
                    # Pruning: check if the current permutation can potentially be lexicographically smaller
                    if index == 0 or perm[index - 1] &lt; i:
                        perm[index] = i
                        used[i] = True
                        backtrack(index + 1)
                        used[i] = False
        n = len(nums)
        perm = [0] * n
        used = [False] * n
        min_score = float('inf')
        min_perm = []
        backtrack(0)
        return min_perm
# Example usage:
# sol = Solution()
# print(sol.findPermutation([1,0,2]))  # Output: [0,1,2]
# print(sol.findPermutation([0,2,1]))  # Output: [0,2,1]</t>
  </si>
  <si>
    <t>from typing import List
import math
class Solution:
    def findProductsOfElements(self, queries: List[List[int]]) -&gt; List[int]:
        def find_num_and_bit_idx(idx):
            # Find which number's powerful array the index falls into
            # and the bit index within that number's powerful array
            num = idx // 2
            bit_idx = idx % 2
            power = 0
            while num &gt; (1 &lt;&lt; power) - 1:
                num -= (1 &lt;&lt; power)
                power += 1
            return power, bit_idx
        def product_of_range(from_idx, to_idx, mod):
            # Calculate the product of the range taking advantage of powers of two
            # and using modular arithmetic properties
            product = 1
            while from_idx &lt;= to_idx:
                power, bit_idx = find_num_and_bit_idx(from_idx)
                if bit_idx == 0:
                    # Calculate how many elements of the same power are in the range
                    next_power_idx = (1 &lt;&lt; (power + 1)) - 1
                    count = min(next_power_idx - from_idx, to_idx - from_idx + 1)
                    # Multiply the product by 2^power, count times, modulo mod
                    product = (product * pow(2, power * count, mod)) % mod
                    from_idx += count
                else:
                    # Multiply the product by 2^power, modulo mod
                    product = (product * pow(2, power, mod)) % mod
                    from_idx += 1
            return product
        results = []
        for from_idx, to_idx, mod in queries:
            results.append(product_of_range(from_idx, to_idx, mod))
        return results
# Example usage:
# sol = Solution()
# print(sol.findProductsOfElements([[1,3,7], [2,5,3], [7,7,4]]))  # Output: [4, 2, 2]</t>
  </si>
  <si>
    <t>class Solution:
    def findProductsOfElements(self, queries: List[List[int]]) -&gt; List[int]:
        # Helper function to calculate the powerful array for a given number
        def powerful_array(x):
            powers = []
            bit = 1
            while x:
                if x &amp; 1:
                    powers.append(bit)
                bit &lt;&lt;= 1
                x &gt;&gt;= 1
            return powers
        # Helper function to calculate the product modulo mod
        def product_modulo(lst, mod):
            result = 1
            for num in lst:
                result = (result * num) % mod
            return result
        # Main function to process queries
        def process_query(from_i, to_i, mod):
            # TODO: Implement the logic to calculate the product of the range in big_nums
            pass
        # Process each query and calculate the result
        answer = []
        for from_i, to_i, mod in queries:
            answer.append(process_query(from_i, to_i, mod))
        return answer
# We need to replace the TODO with the actual logic to calculate the product
# of the range in big_nums without generating the entire big_nums array.</t>
  </si>
  <si>
    <t>class Solution:
    def findProductsOfElements(self, queries: List[List[int]]) -&gt; List[int]:
        def productOfRange(l, r, mod):
            # This function calculates the product of the range
            # from l to r, modulo mod.
            if l == r:
                return 1 &lt;&lt; (bin(l).count('1') - 1) % mod
            prod = 1
            while l &lt;= r and l &amp; (l - 1):
                prod = (prod * (1 &lt;&lt; (bin(l).count('1') - 1))) % mod
                l += 1
            while l &lt;= r and r &amp; (r + 1):
                prod = (prod * (1 &lt;&lt; (bin(r).count('1') - 1))) % mod
                r -= 1
            if l &lt;= r:
                # Calculate the product for the full periods
                full_periods = (r - l + 1) &gt;&gt; (len(bin(r)) - 2)
                prod = (prod * pow((1 &lt;&lt; (len(bin(r)) - 2)) - 1, full_periods, mod)) % mod
                l += full_periods &lt;&lt; (len(bin(r)) - 2)
                return (prod * productOfRange(l, r, mod)) % mod
            return prod
        # Answer each query using the productOfRange function
        answer = []
        for l, r, mod in queries:
            answer.append(productOfRange(l, r, mod))
        return answer</t>
  </si>
  <si>
    <t>class Solution:
    def findProductsOfElements(self, queries: List[List[int]]) -&gt; List[int]:
        def count_powers_of_two(n: int) -&gt; int:
            # Counts the number of times 2^k appears up to n.
            count = 0
            k = 1
            while k &lt;= n:
                # Count the full blocks and the remainder.
                full_blocks = n // (k * 2)
                remainder = min(k, n % (k * 2) - k + 1)
                count += full_blocks * k + max(0, remainder)
                k *= 2
            return count
        def mod_pow(base: int, exponent: int, mod: int) -&gt; int:
            # Efficiently computes base^exponent % mod.
            result = 1
            base %= mod
            while exponent &gt; 0:
                if exponent % 2 == 1:
                    result = (result * base) % mod
                exponent //= 2
                base = (base * base) % mod
            return result
        answer = []
        for fromi, toi, modi in queries:
            product_mod = 1
            # Iterate over each power of two.
            power = 0
            while (1 &lt;&lt; power) &lt;= toi:
                # Count how many times 2^power appears between fromi and toi.
                count = count_powers_of_two(toi + 1) - count_powers_of_two(fromi)
                # Multiply the count to the product modulo modi.
                product_mod = (product_mod * mod_pow(2, power * count, modi)) % modi
                power += 1
            answer.append(product_mod)
        return answer</t>
  </si>
  <si>
    <t>from typing import List
class Solution:
    def findProductsOfElements(self, queries: List[List[int]]) -&gt; List[int]:
        def get_powerful_array_length(x):
            # Returns the length of the powerful array for x.
            return bin(x).count('1')
        def get_total_length(n):
            # Returns the total length of concatenated powerful arrays for all numbers from 1 to n.
            return sum(get_powerful_array_length(i) for i in range(1, n + 1))
        def product_modulo_power_of_two(length, mod):
            # Computes the product of a sequence of powers of two modulo mod.
            # The length of the sequence is given by 'length'.
            result = 1
            power = 1
            for _ in range(length):
                result = (result * power) % mod
                power = (power * 2) % mod
            return result
        answer = []
        for from_i, to_i, mod_i in queries:
            # Convert from 1-based to 0-based indexing
            from_i -= 1
            # Find the total length of the powerful arrays from 1 to from_i and to_i
            total_length_from = get_total_length(from_i)
            total_length_to = get_total_length(to_i)
            # Find the length of the powerful array for the number at from_i
            length_from_i = get_powerful_array_length(from_i + 1)
            # Compute the product modulo mod_i
            product = 1
            if total_length_from &lt; total_length_to:
                # If the total length of the powerful arrays up to from_i is less than up to to_i,
                # we need to multiply the remaining part of the powerful array starting at from_i
                remaining_length_from = length_from_i - (total_length_from - from_i)
                product = product_modulo_power_of_two(remaining_length_from, mod_i)
                # Multiply by the product of the full sequences of powers of two between from_i and to_i
                full_sequences_length = total_length_to - total_length_from - remaining_length_from
                product = (product * product_modulo_power_of_two(full_sequences_length, mod_i)) % mod_i
            # Multiply by the part of the powerful array for to_i if it is not a complete power of two
            remaining_length_to = to_i - total_length_to
            if remaining_length_to &gt; 0:
                product = (product * product_modulo_power_of_two(remaining_length_to, mod_i)) % mod_i
            answer.append(product)
        return answer
# Example usage:
sol = Solution()
print(sol.findProductsOfElements([[1, 3, 7]]))  # Output: [4]
print(sol.findProductsOfElements([[2, 5, 3], [7, 7, 4]]))  # Output: [2, 2]</t>
  </si>
  <si>
    <t>from typing import List
class Solution:
    def minCostToEqualizeArray(self, nums: List[int], cost1: int, cost2: int) -&gt; int:
        # Find the maximum number in the array
        max_num = max(nums)
        # Initialize the minimum cost to a large number
        min_cost = float('inf')
        # Calculate the cost for making all elements equal to each possible target from min(nums) to max(nums)
        for target in range(min(nums), max_num + 1):
            single_ops = 0  # Cost of increasing one element
            double_ops = 0  # Cost of increasing two elements at a time
            for num in nums:
                diff = target - num
                # If the cost of two operations is cheaper than one, use double operations
                if cost2 &lt; 2 * cost1:
                    double_ops += diff // 2
                    single_ops += diff % 2
                else:
                    single_ops += diff
            # Calculate the total cost for this target and update min_cost if it's lower
            cost = single_ops * cost1 + double_ops * cost2
            min_cost = min(min_cost, cost)
        # Return the minimum cost modulo 10^9 + 7
        return min_cost % (10**9 + 7)
# Example usage:
sol = Solution()
print(sol.minCostToEqualizeArray([4,1], 5, 2))  # Output: 15
print(sol.minCostToEqualizeArray([2,3,3,3,5], 2, 1))  # Output: 6
print(sol.minCostToEqualizeArray([3,5,3], 1, 3))  # Output: 4</t>
  </si>
  <si>
    <t>class Solution:
    def minCostToEqualizeArray(self, nums: List[int], cost1: int, cost2: int) -&gt; int:
        # Find the maximum value in the array to determine the target value
        max_val = max(nums)
        # Initialize the total cost to 0
        total_cost = 0
        # Check if it's cheaper to increase single elements or pairs of elements
        if cost1 &lt;= cost2 // 2:
            # Cheaper to increase single elements
            for num in nums:
                total_cost += (max_val - num) * cost1
        else:
            # Cheaper to increase pairs of elements
            # Count how many times each element needs to be increased
            increase_count = [max_val - num for num in nums]
            odd_count = sum(count % 2 for count in increase_count)
            # Calculate the cost to make all increase counts even
            total_cost += (odd_count // 2) * cost2
            # If there's an odd one out, increase it by cost1
            if odd_count % 2 == 1:
                total_cost += cost1
            # Now all elements can be increased in pairs
            total_cost += (sum(increase_count) // 2) * cost2
        # Return the total cost modulo 10^9 + 7
        return total_cost % (10**9 + 7)</t>
  </si>
  <si>
    <t>from typing import List
class Solution:
    def minCostToEqualizeArray(self, nums: List[int], cost1: int, cost2: int) -&gt; int:
        # Find the maximum value in nums
        max_val = max(nums)
        # Calculate the total increments needed for each element
        increments = [max_val - x for x in nums]
        # Calculate the total number of increments
        total_increments = sum(increments)
        # If cost2 is cheaper or equal to cost1 for two increments, use cost2 for pairs
        if cost2 &lt;= 2 * cost1:
            # Calculate the cost of incrementing pairs
            cost_pairs = (total_increments // 2) * cost2
            # Calculate the cost of any remaining single increment if total_increments is odd
            cost_singles = (total_increments % 2) * cost1
            total_cost = cost_pairs + cost_singles
        else:
            # If cost1 is cheaper, use cost1 for all increments
            total_cost = total_increments * cost1
        # Return the total cost modulo 10^9 + 7
        return total_cost % (10**9 + 7)
# Example usage:
# sol = Solution()
# print(sol.minCostToEqualizeArray([2,3,3,3,5], 2, 1)) # Output: 6</t>
  </si>
  <si>
    <t>from typing import List
class Solution:
    def minCostToEqualizeArray(self, nums: List[int], cost1: int, cost2: int) -&gt; int:
        # Find the maximum value in the array to determine the target value
        target = max(nums)
        # Initialize the total cost to 0
        total_cost = 0
        # Calculate the total cost to make all elements equal to the target value
        for num in nums:
            # The difference between the target and the current element
            diff = target - num
            if cost2 &lt;= 2 * cost1:
                # If incrementing two elements is cheaper or equal to twice the cost of one,
                # use the cheaper operation as much as possible
                total_cost += (diff // 2) * cost2
                if diff % 2:
                    total_cost += cost1
            else:
                # If incrementing one element is cheaper, use that operation
                total_cost += diff * cost1
        # Since the answer could be very large, return it modulo 10^9 + 7
        return total_cost % (10**9 + 7)
# Example usage:
sol = Solution()
print(sol.minCostToEqualizeArray([4,1], 5, 2))  # Output: 15
print(sol.minCostToEqualizeArray([2,3,3,3,5], 2, 1))  # Output: 6
print(sol.minCostToEqualizeArray([3,5,3], 1, 3))  # Output: 4</t>
  </si>
  <si>
    <t>from typing import List
class Solution:
    def minCostToEqualizeArray(self, nums: List[int], cost1: int, cost2: int) -&gt; int:
        MOD = 10**9 + 7
        # The strategy is to always use the cheaper operation to increase the numbers
        # If cost2 is cheaper than 2 * cost1, we use cost2 to increase pairs
        # Otherwise, we use cost1 for individual increments
        # Find the maximum number in the array
        max_num = max(nums)
        # Calculate the differences from the maximum number
        diffs = [max_num - num for num in nums]
        # If cost2 &gt;= 2 * cost1, it's always better or equal to increase individually
        if cost2 &gt;= 2 * cost1:
            return sum(diffs) * cost1 % MOD
        # Otherwise, we will use the pair increase as much as possible
        # We can pair up the operations for even differences and then handle the odd ones
        total_cost = 0
        odd_count = 0
        for diff in diffs:
            # If the difference is odd, we remember it to be handled individually
            if diff % 2 == 1:
                odd_count += 1
            # We can handle the even part of the difference with pair operations
            total_cost = (total_cost + (diff // 2) * cost2) % MOD
        # Now, we handle the odd differences
        # If there's an odd number of odd differences, one element must be increased individually
        if odd_count % 2 == 1:
            total_cost = (total_cost + cost1) % MOD
        # The remaining pairs of odd differences can be increased by the pair operation
        total_cost = (total_cost + (odd_count // 2) * cost2) % MOD
        return total_cost
# Example usage:
sol = Solution()
print(sol.minCostToEqualizeArray([4,1], 5, 2))  # Output: 15
print(sol.minCostToEqualizeArray([2,3,3,3,5], 2, 1))  # Output: 6
print(sol.minCostToEqualizeArray([3,5,3], 1, 3))  # Output: 4</t>
  </si>
  <si>
    <t>from typing import List
class Solution:
    def medianOfUniquenessArray(self, nums: List[int]) -&gt; int:
        def count_uniqueness(nums):
            count = {}
            uniqueness = []
            for i in range(len(nums)):
                for j in range(i, len(nums)):
                    count[nums[j]] = count.get(nums[j], 0) + 1
                    # Only add the count if it's the first occurrence in the current subarray
                    if count[nums[j]] == 1:
                        uniqueness.append(len(count))
            return sorted(uniqueness)
        uniqueness_array = count_uniqueness(nums)
        n = len(uniqueness_array)
        # If the length of the uniqueness array is odd, return the middle element
        if n % 2 == 1:
            return uniqueness_array[n // 2]
        else:
            # If the length is even, return the smaller of the two middle elements
            return min(uniqueness_array[(n // 2) - 1], uniqueness_array[n // 2])
# Example usage:
sol = Solution()
print(sol.medianOfUniquenessArray([1,2,3]))  # Output: 1
print(sol.medianOfUniquenessArray([3,4,3,4,5]))  # Output: 2
print(sol.medianOfUniquenessArray([4,3,5,4]))  # Output: 2</t>
  </si>
  <si>
    <t>from typing import List
from collections import defaultdict
class Solution:
    def medianOfUniquenessArray(self, nums: List[int]) -&gt; int:
        def count_subarrays_with_k_uniques(k: int) -&gt; int:
            count = left = 0
            freq = defaultdict(int)
            for right in range(len(nums)):
                freq[nums[right]] += 1
                while len(freq) &gt; k:
                    freq[nums[left]] -= 1
                    if freq[nums[left]] == 0:
                        del freq[nums[left]]
                    left += 1
                count += right - left + 1
            return count
        # Total number of subarrays
        total_subarrays = len(nums) * (len(nums) + 1) // 2
        # Binary search to find the median
        low, high = 1, len(nums)
        while low &lt; high:
            mid = (low + high) // 2
            if count_subarrays_with_k_uniques(mid) * 2 &gt;= total_subarrays:
                high = mid
            else:
                low = mid + 1
        return low
# Example usage:
sol = Solution()
print(sol.medianOfUniquenessArray([1,2,3]))  # Output: 1
print(sol.medianOfUniquenessArray([3,4,3,4,5]))  # Output: 2
print(sol.medianOfUniquenessArray([4,3,5,4]))  # Output: 2</t>
  </si>
  <si>
    <t>from typing import List
from collections import Counter
class Solution:
    def medianOfUniquenessArray(self, nums: List[int]) -&gt; int:
        # Helper function to calculate the median from the frequencies
        def find_median(frequencies, total):
            count, median = 0, 0
            for k, v in sorted(frequencies.items()):
                count += v
                if 2 * count == total:
                    median = k
                elif 2 * count &gt; total:
                    return k if median == 0 else (median + k) // 2
            return median
        # Counter to keep track of the frequencies of distinct element counts
        freq_counter = Counter()
        # Counter to keep track of the elements in the current window
        window_counter = Counter()
        # Total number of subarrays
        total_subarrays = len(nums) * (len(nums) + 1) // 2
        # Sliding window to count frequencies of distinct elements in all subarrays
        for i in range(len(nums)):
            window_counter.clear()
            for j in range(i, len(nums)):
                window_counter[nums[j]] += 1
                freq_counter[len(window_counter)] += 1
        # Find the median from the frequencies
        return find_median(freq_counter, total_subarrays)
# Example usage:
sol = Solution()
print(sol.medianOfUniquenessArray([1,2,3]))  # Output: 1
print(sol.medianOfUniquenessArray([3,4,3,4,5]))  # Output: 2
print(sol.medianOfUniquenessArray([4,3,5,4]))  # Output: 2</t>
  </si>
  <si>
    <t>from collections import defaultdict
class Solution:
    def medianOfUniquenessArray(self, nums: List[int]) -&gt; int:
        def count_subarrays_with_k_distinct(k):
            count, left = 0, 0
            freq = defaultdict(int)
            for right in range(len(nums)):
                freq[nums[right]] += 1
                while len(freq) &gt; k:
                    freq[nums[left]] -= 1
                    if freq[nums[left]] == 0:
                        del freq[nums[left]]
                    left += 1
                count += right - left + 1
            return count
        total_subarrays = len(nums) * (len(nums) + 1) // 2
        left, right = 1, len(nums)
        while left &lt; right:
            mid = (left + right) // 2
            if count_subarrays_with_k_distinct(mid) * 2 &lt; total_subarrays:
                left = mid + 1
            else:
                right = mid
        return left
# Example usage:
sol = Solution()
print(sol.medianOfUniquenessArray([1, 2, 3]))  # Output: 1
print(sol.medianOfUniquenessArray([3, 4, 3, 4, 5]))  # Output: 2
print(sol.medianOfUniquenessArray([4, 3, 5, 4]))  # Output: 2</t>
  </si>
  <si>
    <t>from typing import List
from collections import defaultdict
class Solution:
    def medianOfUniquenessArray(self, nums: List[int]) -&gt; int:
        # Frequency map to store the frequency of each element
        freq_map = defaultdict(int)
        # Count map to store the number of elements with a certain frequency
        count_map = defaultdict(int)
        # Fill the frequency map with initial frequencies of elements
        for num in nums:
            freq_map[num] += 1
        # Fill the count map with the frequency of frequencies
        for freq in freq_map.values():
            count_map[freq] += 1
        # Uniqueness array to store the distinct counts
        uniqueness = []
        for freq, count in count_map.items():
            uniqueness.extend([freq] * count)
        # Sort the uniqueness array
        uniqueness.sort()
        # Find the median
        n = len(uniqueness)
        if n % 2 == 1:
            return uniqueness[n // 2]
        else:
            return min(uniqueness[n // 2 - 1], uniqueness[n // 2])
# Example usage:
solution = Solution()
print(solution.medianOfUniquenessArray([1, 2, 3]))  # Output: 1
print(solution.medianOfUniquenessArray([3, 4, 3, 4, 5]))  # Output: 2
print(solution.medianOfUniquenessArray([4, 3, 5, 4]))  # Output: 2</t>
  </si>
  <si>
    <t>MOD = 10**9 + 7
class Solution:
    def numberOfStableArrays(self, zero: int, one: int, limit: int) -&gt; int:
        # Initialize the dp array with zeros
        dp = [[[0 for _ in range(2)] for _ in range(one + 1)] for _ in range(zero + 1)]
        # Base case: an empty array is a stable array
        dp[0][0][0] = dp[0][0][1] = 1
        # Fill the dp array
        for z in range(zero + 1):
            for o in range(one + 1):
                for last in range(2):  # last element is either 0 or 1
                    if z &gt; 0:
                        # If the last element is 0, we can add a 0 if we don't exceed the limit
                        dp[z][o][0] += dp[z - 1][o][1] if o &gt;= limit else dp[z - 1][o][0] + dp[z - 1][o][1]
                        dp[z][o][0] %= MOD
                    if o &gt; 0:
                        # If the last element is 1, we can add a 1 if we don't exceed the limit
                        dp[z][o][1] += dp[z][o - 1][0] if z &gt;= limit else dp[z][o - 1][0] + dp[z][o - 1][1]
                        dp[z][o][1] %= MOD
        # The answer is the sum of stable arrays ending with 0 and those ending with 1
        return (dp[zero][one][0] + dp[zero][one][1]) % MOD
# Example usage:
sol = Solution()
print(sol.numberOfStableArrays(1, 1, 2))  # Output: 2
print(sol.numberOfStableArrays(1, 2, 1))  # Output: 1
print(sol.numberOfStableArrays(3, 3, 2))  # Output: 14</t>
  </si>
  <si>
    <t>MOD = 10**9 + 7
class Solution:
    def numberOfStableArrays(self, zero: int, one: int, limit: int) -&gt; int:
        dp = [[[0 for _ in range(limit + 1)] for _ in range(one + 1)] for _ in range(zero + 1)]
        # Base cases
        dp[0][0][0] = 1
        for j in range(1, one + 1):
            dp[0][j][1] = 1
        for i in range(1, zero + 1):
            dp[i][0][1] = 1
        # Fill the dp table
        for i in range(1, zero + 1):
            for j in range(1, one + 1):
                for k in range(1, limit + 1):
                    # If we add a zero, extend the last segment of zeros or start a new segment
                    dp[i][j][k] += dp[i - 1][j][k - 1] if k &gt; 1 else sum(dp[i - 1][j][l] for l in range(1, limit + 1))
                    # If we add a one, extend the last segment of ones or start a new segment
                    dp[i][j][k] += dp[i][j - 1][k - 1] if k &gt; 1 else sum(dp[i][j - 1][l] for l in range(1, limit + 1))
                    # Modulo operation
                    dp[i][j][k] %= MOD
        # Sum all valid complete arrays
        return sum(dp[zero][one][k] for k in range(1, limit + 1)) % MOD
# Example usage:
solution = Solution()
print(solution.numberOfStableArrays(3, 3, 2))  # Output: 14</t>
  </si>
  <si>
    <t>MOD = 10**9 + 7
class Solution:
    def numberOfStableArrays(self, zero: int, one: int, limit: int) -&gt; int:
        # Initialize the dp table with 0s
        dp = [[[0 for _ in range(limit + 1)] for _ in range(one + 1)] for _ in range(zero + one + 1)]
        # Base case: an empty array is one possible stable array
        dp[0][0][0] = 1
        # Fill the dp table
        for i in range(1, zero + one + 1):
            for j in range(min(i, zero) + 1):
                k = i - j  # Number of ones
                if k &gt; one:  # If the number of ones exceeds the limit, continue
                    continue
                for l in range(limit + 1):  # Last l elements are the same
                    if j &gt; 0:
                        # If we can add a zero, add it after a one or a sequence of less than limit zeros
                        dp[i][j][min(l + 1, limit)] += dp[i - 1][j - 1][1] + (dp[i - 1][j - 1][l + 1] if l &lt; limit else 0)
                        dp[i][j][min(l + 1, limit)] %= MOD
                    if k &gt; 0:
                        # If we can add a one, add it after a zero or a sequence of less than limit ones
                        dp[i][j][1] += dp[i - 1][j][l] if l &gt; 1 else 0
                        dp[i][j][1] %= MOD
        # Sum up all the stable arrays that use all zeros and ones
        result = 0
        for l in range(1, limit + 1):
            result += dp[zero + one][zero][l]
            result %= MOD
        return result
# Example usage:
sol = Solution()
print(sol.numberOfStableArrays(1, 1, 2))  # Output: 2
print(sol.numberOfStableArrays(1, 2, 1))  # Output: 1
print(sol.numberOfStableArrays(3, 3, 2))  # Output: 14</t>
  </si>
  <si>
    <t>class Solution:
    def numberOfStableArrays(self, zero: int, one: int, limit: int) -&gt; int:
        MOD = 10**9 + 7
        # If limit is greater than or equal to the total length, return the binomial coefficient
        if limit &gt;= zero + one:
            return self.binomial_coefficient(zero + one, zero, MOD)
        # Initialize the dynamic programming table
        dp = [[0] * (one + 1) for _ in range(zero + 1)]
        # Base case: one zero or one one
        for i in range(min(zero, limit) + 1):
            dp[i][0] = 1
        for i in range(min(one, limit) + 1):
            dp[0][i] = 1
        # Fill the dynamic programming table
        for i in range(1, zero + 1):
            for j in range(1, one + 1):
                # If we add a zero, we can take the sum of the last 'limit' states with one less zero
                if i &gt; limit:
                    dp[i][j] = (dp[i][j] + dp[i-1][j] - dp[i-limit-1][j]) % MOD
                else:
                    dp[i][j] = (dp[i][j] + dp[i-1][j]) % MOD
                # If we add a one, we can take the sum of the last 'limit' states with one less one
                if j &gt; limit:
                    dp[i][j] = (dp[i][j] + dp[i][j-1] - dp[i][j-limit-1]) % MOD
                else:
                    dp[i][j] = (dp[i][j] + dp[i][j-1]) % MOD
        return dp[zero][one]
    def binomial_coefficient(self, n: int, k: int, MOD: int) -&gt; int:
        if k &gt; n:
            return 0
        if k &gt; n - k:
            k = n - k
        result = 1
        for i in range(k):
            result = result * (n - i) // (i + 1)
        return result % MOD</t>
  </si>
  <si>
    <t>MOD = 10**9 + 7
class Solution:
    def numberOfStableArrays(self, zero: int, one: int, limit: int) -&gt; int:
        # Initialize the dynamic programming table
        # dp[length][zeros][last_same_bits]
        dp = [[[0] * (limit + 1) for _ in range(one + 1)] for _ in range(zero + one + 1)]
        # Base case: an array of length 0 with 0 zeros is 1 (empty array)
        dp[0][0][0] = 1
        # Fill the dynamic programming table
        for length in range(1, zero + one + 1):
            for zeros in range(min(length, zero) + 1):
                ones = length - zeros
                if ones &gt; one:
                    continue
                # Case when the last bit is 0
                for last_same in range(1, limit + 1):
                    # If we can add another 0
                    if zeros - last_same &gt;= 0:
                        dp[length][zeros][last_same] += dp[length - 1][zeros - 1][last_same - 1]
                        dp[length][zeros][last_same] %= MOD
                    # If we need to add a 1 to break the sequence of 0s
                    if ones &gt; 0:
                        dp[length][zeros][1] += dp[length - 1][zeros][last_same]
                        dp[length][zeros][1] %= MOD
                # Case when the last bit is 1
                for last_same in range(1, limit + 1):
                    # If we can add another 1
                    if ones - last_same &gt;= 0:
                        dp[length][zeros][last_same] += dp[length - 1][zeros][last_same - 1]
                        dp[length][zeros][last_same] %= MOD
                    # If we need to add a 0 to break the sequence of 1s
                    if zeros &gt; 0:
                        dp[length][zeros][1] += dp[length - 1][zeros - 1][last_same]
                        dp[length][zeros][1] %= MOD
        # Sum all valid configurations
        result = 0
        for last_same in range(1, limit + 1):
            result += dp[zero + one][zero][last_same]
            result %= MOD
        return result
# Example usage
sol = Solution()
print(sol.numberOfStableArrays(1, 1, 2))  # Output: 2
print(sol.numberOfStableArrays(1, 2, 1))  # Output: 1
print(sol.numberOfStableArrays(3, 3, 2))  # Output: 14</t>
  </si>
  <si>
    <t>import heapq
from typing import List
class Solution:
    def findAnswer(self, n: int, edges: List[List[int]]) -&gt; List[bool]:
        # Create a graph representation
        graph = {i: [] for i in range(n)}
        for i, (u, v, w) in enumerate(edges):
            graph[u].append((v, w, i))
            graph[v].append((u, w, i))
        # Dijkstra's algorithm to find shortest distances
        def dijkstra(start):
            dist = [float('inf')] * n
            dist[start] = 0
            pq = [(0, start)]
            while pq:
                d, node = heapq.heappop(pq)
                if d &gt; dist[node]:
                    continue
                for neighbor, weight, _ in graph[node]:
                    if dist[node] + weight &lt; dist[neighbor]:
                        dist[neighbor] = dist[node] + weight
                        heapq.heappush(pq, (dist[neighbor], neighbor))
            return dist
        # Run Dijkstra's from node 0
        shortest_distances = dijkstra(0)
        # Backtrack from node `n - 1` to find all edges in at least one shortest path
        answer = [False] * len(edges)
        def find_edges_in_shortest_paths(node, distance):
            if node == 0:
                return True
            for prev_node, weight, edge_idx in graph[node]:
                if distance - weight == shortest_distances[prev_node]:
                    answer[edge_idx] = True
                    find_edges_in_shortest_paths(prev_node, distance - weight)
        # Find all edges in shortest paths
        find_edges_in_shortest_paths(n - 1, shortest_distances[n - 1])
        return answer
# Example usage:
sol = Solution()
print(sol.findAnswer(6, [[0,1,4],[0,2,1],[1,3,2],[1,4,3],[1,5,1],[2,3,1],[3,5,3],[4,5,2]]))
print(sol.findAnswer(4, [[2,0,1],[0,1,1],[0,3,4],[3,2,2]]))</t>
  </si>
  <si>
    <t>import heapq
from typing import List
class Solution:
    def findAnswer(self, n: int, edges: List[List[int]]) -&gt; List[bool]:
        # Create a graph representation
        graph = [[] for _ in range(n)]
        for i, (u, v, w) in enumerate(edges):
            graph[u].append((v, w, i))
            graph[v].append((u, w, i))
        # Dijkstra's algorithm to find shortest paths from node 0
        shortest_distances = [float('inf')] * n
        shortest_distances[0] = 0
        pq = [(0, 0)]  # (distance, node)
        while pq:
            dist, node = heapq.heappop(pq)
            if dist &gt; shortest_distances[node]:
                continue
            for neighbor, weight, idx in graph[node]:
                new_dist = dist + weight
                if new_dist &lt; shortest_distances[neighbor]:
                    shortest_distances[neighbor] = new_dist
                    heapq.heappush(pq, (new_dist, neighbor))
        # Backtrack to find all edges in the shortest path
        answer = [False] * len(edges)
        queue = [(n-1, shortest_distances[n-1])]
        visited = [False] * n
        while queue:
            node, dist = queue.pop()
            if visited[node]:
                continue
            visited[node] = True
            for neighbor, weight, idx in graph[node]:
                if shortest_distances[neighbor] == dist - weight:
                    answer[idx] = True
                    queue.append((neighbor, shortest_distances[neighbor]))
        return answer
# Example usage:
sol = Solution()
n = 6
edges = [[0,1,4],[0,2,1],[1,3,2],[1,4,3],[1,5,1],[2,3,1],[3,5,3],[4,5,2]]
print(sol.findAnswer(n, edges))  # Output: [true,true,true,false,true,true,true,false]</t>
  </si>
  <si>
    <t>import heapq
from typing import List
class Solution:
    def findAnswer(self, n: int, edges: List[List[int]]) -&gt; List[bool]:
        graph = [[] for _ in range(n)]
        for i, (u, v, w) in enumerate(edges):
            graph[u].append((v, w, i))
            graph[v].append((u, w, i))
        # Dijkstra's algorithm to find the shortest path from node 0 to all other nodes
        def dijkstra(start):
            dist = [float('inf')] * n
            dist[start] = 0
            queue = [(0, start)]
            predecessors = {i: [] for i in range(n)}
            while queue:
                d, node = heapq.heappop(queue)
                if d &gt; dist[node]:
                    continue
                for neighbor, weight, edge_idx in graph[node]:
                    new_dist = d + weight
                    if new_dist &lt; dist[neighbor]:
                        dist[neighbor] = new_dist
                        heapq.heappush(queue, (new_dist, neighbor))
                        predecessors[neighbor] = [(node, edge_idx)]
                    elif new_dist == dist[neighbor]:
                        predecessors[neighbor].append((node, edge_idx))
            return dist, predecessors
        # Run Dijkstra's from node 0
        dist, predecessors = dijkstra(0)
        # Backtrack from node `n - 1` to find all edges in at least one shortest path
        def find_edges_in_shortest_paths():
            answer = [False] * len(edges)
            visited = [False] * n
            stack = [n - 1]
            while stack:
                node = stack.pop()
                if visited[node]:
                    continue
                visited[node] = True
                for pred, edge_idx in predecessors[node]:
                    answer[edge_idx] = True
                    stack.append(pred)
            return answer
        return find_edges_in_shortest_paths()
# Example usage:
# sol = Solution()
# print(sol.findAnswer(6, [[0,1,4],[0,2,1],[1,3,2],[1,4,3],[1,5,1],[2,3,1],[3,5,3],[4,5,2]]))</t>
  </si>
  <si>
    <t>import heapq
from typing import List
from collections import defaultdict
class Solution:
    def findAnswer(self, n: int, edges: List[List[int]]) -&gt; List[bool]:
        # Create a graph representation
        graph = defaultdict(list)
        for i, (u, v, w) in enumerate(edges):
            graph[u].append((v, w, i))
            graph[v].append((u, w, i))
        # Dijkstra's algorithm to find shortest paths from node 0
        # We also store the predecessors and the edge indices
        min_distance = [float('inf')] * n
        min_distance[0] = 0
        predecessors = defaultdict(list)
        edge_indices = defaultdict(list)
        heap = [(0, 0)]  # (distance, node)
        while heap:
            dist, node = heapq.heappop(heap)
            if dist &gt; min_distance[node]:
                continue
            for neighbor, weight, edge_idx in graph[node]:
                new_dist = dist + weight
                if new_dist &lt; min_distance[neighbor]:
                    min_distance[neighbor] = new_dist
                    heapq.heappush(heap, (new_dist, neighbor))
                    predecessors[neighbor] = [node]
                    edge_indices[neighbor] = [edge_idx]
                elif new_dist == min_distance[neighbor]:
                    predecessors[neighbor].append(node)
                    edge_indices[neighbor].append(edge_idx)
        # Backtrack to determine which edges are on a shortest path
        answer = [False] * len(edges)
        visited = [False] * n
        stack = [n - 1]
        while stack:
            node = stack.pop()
            if visited[node]:
                continue
            visited[node] = True
            for edge_idx in edge_indices[node]:
                answer[edge_idx] = True
            stack.extend(predecessors[node])
        return answer
# Example usage:
# sol = Solution()
# print(sol.findAnswer(6, [[0,1,4],[0,2,1],[1,3,2],[1,4,3],[1,5,1],[2,3,1],[3,5,3],[4,5,2]]))</t>
  </si>
  <si>
    <t>from typing import List
from heapq import heappush, heappop
from collections import defaultdict
class Solution:
    def findAnswer(self, n: int, edges: List[List[int]]) -&gt; List[bool]:
        # Create a graph representation
        graph = defaultdict(list)
        for i, (u, v, w) in enumerate(edges):
            graph[u].append((v, w, i))
            graph[v].append((u, w, i))
        # Perform Dijkstra's algorithm to find shortest paths from node 0
        dist = [float('inf')] * n
        dist[0] = 0
        pq = [(0, 0)]  # (distance, node)
        while pq:
            d, node = heappop(pq)
            if d &gt; dist[node]:
                continue
            for neighbor, weight, _ in graph[node]:
                if dist[node] + weight &lt; dist[neighbor]:
                    dist[neighbor] = dist[node] + weight
                    heappush(pq, (dist[neighbor], neighbor))
        # Backtrack from node `n - 1` to find all edges in shortest paths
        answer = [False] * len(edges)
        queue = [(n - 1, dist[n - 1])]
        visited = set()
        while queue:
            node, d = queue.pop()
            if node in visited:
                continue
            visited.add(node)
            for neighbor, weight, idx in graph[node]:
                if dist[neighbor] == d - weight:
                    answer[idx] = True
                    queue.append((neighbor, dist[neighbor]))
        return answer
# Example usage:
# sol = Solution()
# print(sol.findAnswer(n=6, edges=[[0,1,4],[0,2,1],[1,3,2],[1,4,3],[1,5,1],[2,3,1],[3,5,3],[4,5,2]]))
# Output: [true,true,true,false,true,true,true,false]</t>
  </si>
  <si>
    <t>from typing import List
class Solution:
    def minimumValueSum(self, nums: List[int], andValues: List[int]) -&gt; int:
        n, m = len(nums), len(andValues)
        min_sum = 0
        j = 0  # Pointer to iterate over nums
        for i in range(m):  # Iterate over each value in andValues
            current_and = -1  # Initialize to -1 because all bits are set
            while j &lt; n:
                # Update the current AND with the next number in nums
                current_and &amp;= nums[j]
                j += 1
                # If we find a subarray that satisfies the AND condition
                if current_and == andValues[i]:
                    # Add the last number in the current subarray to the sum
                    min_sum += nums[j - 1]
                    break
            # If we did not find a valid subarray for andValues[i]
            if current_and != andValues[i]:
                return -1
        return min_sum
# Example usage:
sol = Solution()
print(sol.minimumValueSum([1,4,3,3,2], [0,3,3,2]))  # Output: 12
print(sol.minimumValueSum([2,3,5,7,7,7,5], [0,7,5]))  # Output: 17
print(sol.minimumValueSum([1,2,3,4], [2]))  # Output: -1</t>
  </si>
  <si>
    <t>from typing import List
class Solution:
    def minimumValueSum(self, nums: List[int], andValues: List[int]) -&gt; int:
        n, m = len(nums), len(andValues)
        j = 0  # Pointer to iterate over nums
        result = 0  # Store the sum of last elements of subarrays
        for i in range(m):
            current_and = nums[j]
            # Find the smallest subarray that satisfies the bitwise AND condition
            while j &lt; n and current_and &gt;= andValues[i]:
                if current_and == andValues[i]:
                    result += nums[j]  # Add the last element of the subarray to the result
                    j += 1  # Move to the next element for the next subarray
                    break
                j += 1
                if j &lt; n:
                    current_and &amp;= nums[j]
            else:
                # If we exited the while loop without breaking, it means we didn't find a valid subarray
                if current_and != andValues[i]:
                    return -1
        # Check if we have used all elements in nums
        if j != n:
            return -1
        return result
# Example usage:
sol = Solution()
print(sol.minimumValueSum([1,4,3,3,2], [0,3,3,2]))  # Output: 12
print(sol.minimumValueSum([2,3,5,7,7,7,5], [0,7,5]))  # Output: 17
print(sol.minimumValueSum([1,2,3,4], [2]))  # Output: -1</t>
  </si>
  <si>
    <t>from typing import List
class Solution:
    def minimumValueSum(self, nums: List[int], andValues: List[int]) -&gt; int:
        n, m = len(nums), len(andValues)
        # Initialize DP array with infinity
        dp = [[float('inf')] * (m + 1) for _ in range(n + 1)]
        dp[0][0] = 0  # Base case: no elements and no subarrays
        for i in range(1, n + 1):
            for j in range(1, min(i, m) + 1):
                current_and = nums[i - 1]
                # Try to extend the subarray ending at position k
                for k in range(i - 1, j - 2, -1):
                    current_and &amp;= nums[k]
                    # If the AND of the current subarray equals the required value
                    if current_and == andValues[j - 1]:
                        # Update the DP table
                        dp[i][j] = min(dp[i][j], dp[k][j - 1] + nums[i - 1])
                    # If the AND gets smaller than the required value, no need to extend further
                    if current_and &lt; andValues[j - 1]:
                        break
        # The answer will be in dp[n][m] if it's not infinity
        return dp[n][m] if dp[n][m] != float('inf') else -1
# Example usage
solution = Solution()
print(solution.minimumValueSum([1,4,3,3,2], [0,3,3,2]))  # Output: 12
print(solution.minimumValueSum([2,3,5,7,7,7,5], [0,7,5]))  # Output: 17
print(solution.minimumValueSum([1,2,3,4], [2]))  # Output: -1</t>
  </si>
  <si>
    <t>from typing import List
class Solution:
    def minimumValueSum(self, nums: List[int], andValues: List[int]) -&gt; int:
        n, m = len(nums), len(andValues)
        dp = [[float('inf')] * (m+1) for _ in range(n+1)]
        dp[0][0] = 0
        for i in range(1, n+1):
            for j in range(1, m+1):
                and_so_far = nums[i-1]
                for k in range(i, 0, -1):  # Try all possible subarray starts
                    and_so_far &amp;= nums[k-1]
                    if and_so_far == andValues[j-1]:
                        dp[i][j] = min(dp[i][j], dp[k-1][j-1] + nums[i-1])
        return dp[n][m] if dp[n][m] != float('inf') else -1
# Example usage
solution = Solution()
print(solution.minimumValueSum([1,4,3,3,2], [0,3,3,2]))  # Output: 12
print(solution.minimumValueSum([2,3,5,7,7,7,5], [0,7,5]))  # Output: 17
print(solution.minimumValueSum([1,2,3,4], [2]))  # Output: -1</t>
  </si>
  <si>
    <t>from typing import List
class Solution:
    def minimumValueSum(self, nums: List[int], andValues: List[int]) -&gt; int:
        n, m = len(nums), len(andValues)
        # dp[i][j] will hold the minimum sum of the last elements of subarrays
        # when we have divided nums[:i] into j subarrays
        dp = [[float('inf')] * (m + 1) for _ in range(n + 1)]
        # Base case: 0 subarrays, minimum sum is 0
        dp[0][0] = 0
        for i in range(1, n + 1):
            for j in range(1, min(i, m) + 1):
                # Initialize current AND value to the last element in nums
                current_and = nums[i - 1]
                # Iterate backwards to find a valid subarray
                for k in range(i - 1, j - 2, -1):
                    # Update the current AND value
                    current_and &amp;= nums[k]
                    # If the current AND value matches the required value
                    if current_and == andValues[j - 1]:
                        # Update dp[i][j] with the minimum sum
                        dp[i][j] = min(dp[i][j], dp[k][j - 1] + nums[i - 1])
        # The answer will be in dp[n][m] if it's not infinity
        return dp[n][m] if dp[n][m] != float('inf') else -1
# Example usage:
solution = Solution()
print(solution.minimumValueSum([1,4,3,3,2], [0,3,3,2]))  # Output: 12
print(solution.minimumValueSum([2,3,5,7,7,7,5], [0,7,5]))  # Output: 17
print(solution.minimumValueSum([1,2,3,4], [2]))  # Output: -1</t>
  </si>
  <si>
    <t>import heapq
from typing import List
class Solution:
    def findKthSmallest(self, coins: List[int], k: int) -&gt; int:
        # Initialize a min-heap
        heap = []
        for coin in coins:
            # Push a tuple containing the value and the coin denomination
            heapq.heappush(heap, (coin, coin))
        # Pop and push k-1 times to get the k-th smallest
        for _ in range(k - 1):
            val, coin = heapq.heappop(heap)
            # Push the next multiple of the coin into the heap
            heapq.heappush(heap, (val + coin, coin))
        # The k-th smallest value
        return heapq.heappop(heap)[0]
# Example usage:
solution = Solution()
print(solution.findKthSmallest([3, 6, 9], 3))  # Output: 9
print(solution.findKthSmallest([5, 2], 7))     # Output: 12</t>
  </si>
  <si>
    <t>from typing import List
class Solution:
    def findKthSmallest(self, coins: List[int], k: int) -&gt; int:
        # Helper function to count how many numbers are less than or equal to x
        # using the given coins. It's the sum of x // coin for each coin.
        def count(x):
            return sum(x // coin for coin in coins)
        # Binary search to find the kth smallest number
        # The range is from 1 to k * min(coins), as k * min(coins) is guaranteed
        # to be larger than the kth smallest number.
        left, right = 1, k * min(coins)
        while left &lt; right:
            mid = (left + right) // 2
            if count(mid) &lt; k:
                left = mid + 1
            else:
                right = mid
        return left
# Example usage:
sol = Solution()
print(sol.findKthSmallest([3,6,9], 3))  # Output: 9
print(sol.findKthSmallest([5,2], 7))    # Output: 12</t>
  </si>
  <si>
    <t>from typing import List
import heapq
class Solution:
    def findKthSmallest(self, coins: List[int], k: int) -&gt; int:
        # Create a min-heap with the first multiple of each coin.
        heap = [(coin, coin, 1) for coin in coins]  # (value, coin, multiplier)
        heapq.heapify(heap)
        # We will pop the smallest element k-1 times.
        for _ in range(k - 1):
            val, coin, mult = heapq.heappop(heap)
            # Push the next multiple of the same coin to the heap.
            heapq.heappush(heap, (coin * (mult + 1), coin, mult + 1))
        # The kth smallest element is now at the top of the min-heap.
        return heap[0][0]
# Example usage:
solution = Solution()
print(solution.findKthSmallest([3,6,9], 3))  # Output: 9
print(solution.findKthSmallest([5,2], 7))    # Output: 12</t>
  </si>
  <si>
    <t>import heapq
class Solution:
    def findKthSmallest(self, coins: List[int], k: int) -&gt; int:
        # Initialize a min-heap with the first multiple of each coin
        heap = [(coin, coin, 1) for coin in coins]  # (current value, coin value, multiple)
        heapq.heapify(heap)
        # Repeat k times to find the k^th smallest amount
        for _ in range(k):
            value, coin, multiple = heapq.heappop(heap)
            # Push the next multiple of this coin onto the heap
            heapq.heappush(heap, (coin * (multiple + 1), coin, multiple + 1))
        # The k^th smallest amount is the value of the last popped item from the heap
        return value</t>
  </si>
  <si>
    <t>from typing import List
import heapq
class Solution:
    def findKthSmallest(self, coins: List[int], k: int) -&gt; int:
        # Initialize a min heap with the first multiple of each coin
        heap = [(coin, coin, 1) for coin in coins]  # (current_value, coin_value, multiplier)
        heapq.heapify(heap)
        # We will pop the smallest element from the heap k-1 times
        # The kth smallest element will then be at the top of the heap
        for _ in range(k - 1):
            value, coin, multiplier = heapq.heappop(heap)
            # Push the next multiple of the coin onto the heap
            heapq.heappush(heap, (coin * (multiplier + 1), coin, multiplier + 1))
        # The top of the heap is the kth smallest element
        kth_smallest, _, _ = heap[0]
        return kth_smallest
# Example usage:
sol = Solution()
print(sol.findKthSmallest([3, 6, 9], 3))  # Output: 9
print(sol.findKthSmallest([5, 2], 7))     # Output: 12</t>
  </si>
  <si>
    <t>from typing import List
class Solution:
    def numberOfSubarrays(self, nums: List[int]) -&gt; int:
        count = 0
        for i in range(len(nums)):
            max_element = nums[i]
            for j in range(i, len(nums)):
                max_element = max(max_element, nums[j])
                if nums[i] == max_element and nums[j] == max_element:
                    count += 1
        return count
# Example usage:
sol = Solution()
print(sol.numberOfSubarrays([1,4,3,3,2]))  # Output: 6
print(sol.numberOfSubarrays([3,3,3]))      # Output: 6
print(sol.numberOfSubarrays([1]))          # Output: 1</t>
  </si>
  <si>
    <t>from typing import List
class Solution:
    def numberOfSubarrays(self, nums: List[int]) -&gt; int:
        count = 0
        n = len(nums)
        for i in range(n):
            max_element = nums[i]
            for j in range(i, n):
                max_element = max(max_element, nums[j])
                if nums[i] == nums[j] == max_element:
                    count += 1
        return count
# Example usage:
sol = Solution()
print(sol.numberOfSubarrays([1,4,3,3,2]))  # Output: 6
print(sol.numberOfSubarrays([3,3,3]))      # Output: 6
print(sol.numberOfSubarrays([1]))          # Output: 1</t>
  </si>
  <si>
    <t>from typing import List
class Solution:
    def numberOfSubarrays(self, nums: List[int]) -&gt; int:
        count = 0
        for i in range(len(nums)):
            max_element = nums[i]
            for j in range(i, len(nums)):
                max_element = max(max_element, nums[j])
                if nums[i] == max_element and nums[j] == max_element:
                    count += 1
        return count
# Example usage:
sol = Solution()
print(sol.numberOfSubarrays([1,4,3,3,2])) # Output: 6
print(sol.numberOfSubarrays([3,3,3]))     # Output: 6
print(sol.numberOfSubarrays([1]))         # Output: 1</t>
  </si>
  <si>
    <t>from typing import List
class Solution:
    def numberOfSubarrays(self, nums: List[int]) -&gt; int:
        count = 0
        n = len(nums)
        for i in range(n):
            # Find the leftmost occurrence of nums[i] from the current position i
            left = i
            while left &gt; 0 and nums[left - 1] &lt;= nums[i]:
                left -= 1
            # Find the rightmost occurrence of nums[i] from the current position i
            right = i
            while right &lt; n - 1 and nums[right + 1] &lt;= nums[i]:
                right += 1
            # Calculate the number of subarrays where nums[i] is the largest element
            # and also the first and last element of the subarray
            count += (i - left + 1) * (right - i + 1)
        return count
# Example usage:
solution = Solution()
print(solution.numberOfSubarrays([1,4,3,3,2]))  # Output: 6
print(solution.numberOfSubarrays([3,3,3]))      # Output: 6
print(solution.numberOfSubarrays([1]))          # Output: 1</t>
  </si>
  <si>
    <t>class Solution:
    def numberOfSubarrays(self, nums: List[int]) -&gt; int:
        n = len(nums)
        total_subarrays = 0
        i = 0
        while i &lt; n:
            # Find the count of current element on the left
            left = 0
            while i &lt; n and (i == 0 or nums[i] == nums[i - 1]):
                left += 1
                i += 1
            # If we reached the end of the array, break the loop
            if i == n:
                break
            # Skip the elements that are not the largest
            max_element = nums[i - 1]
            while i &lt; n and nums[i] &lt;= max_element:
                i += 1
            # Find the count of the largest element on the right
            right = 0
            while i &lt; n and nums[i] == max_element:
                right += 1
                i += 1
            # Add the number of subarrays for this element
            total_subarrays += left * right
        return total_subarrays
# Example usage:
# sol = Solution()
# print(sol.numberOfSubarrays([1,4,3,3,2]))  # Output: 6
# print(sol.numberOfSubarrays([3,3,3]))      # Output: 6
# print(sol.numberOfSubarrays([1]))          # Output: 1</t>
  </si>
  <si>
    <t>from typing import List
class DSU:
    def __init__(self, n):
        self.parent = list(range(n))
        self.rank = [0] * n
    def find(self, x):
        if self.parent[x] != x:
            self.parent[x] = self.find(self.parent[x])
        return self.parent[x]
    def union(self, x, y):
        xr, yr = self.find(x), self.find(y)
        if xr == yr:
            return False
        if self.rank[xr] &lt; self.rank[yr]:
            self.parent[xr] = yr
        elif self.rank[xr] &gt; self.rank[yr]:
            self.parent[yr] = xr
        else:
            self.parent[yr] = xr
            self.rank[xr] += 1
        return True
class Solution:
    def minimumCost(self, n: int, edges: List[List[int]], query: List[List[int]]) -&gt; List[int]:
        # Sort edges by weight in decreasing order
        edges.sort(key=lambda x: -x[2])
        # Initialize DSU
        dsu = DSU(n)
        # Map each node to its minimum edge weight in its connected component
        min_edge_weight = [-1] * n
        # Process edges in decreasing order of weights
        for u, v, w in edges:
            # Union the sets of the two vertices
            dsu.union(u, v)
            # Update the minimum edge weight for the connected component
            root_u = dsu.find(u)
            if min_edge_weight[root_u] == -1 or min_edge_weight[root_u] &gt; w:
                min_edge_weight[root_u] = w
        # Answer queries
        answer = []
        for si, ti in query:
            # Find the roots of the sets for si and ti
            root_si = dsu.find(si)
            root_ti = dsu.find(ti)
            # If si and ti are in different connected components, return -1
            if root_si != root_ti:
                answer.append(-1)
            else:
                # The minimum cost is the minimum edge weight in the connected component
                answer.append(min_edge_weight[root_si])
        return answer</t>
  </si>
  <si>
    <t>from typing import List
class Solution:
    def minimumCost(self, n: int, edges: List[List[int]], query: List[List[int]]) -&gt; List[int]:
        # Initialize the cost matrix with a special value (e.g., -1) to indicate no direct connection
        cost_matrix = [[-1 for _ in range(n)] for _ in range(n)]
        # Set the cost of the edge between each pair of directly connected nodes
        for u, v, w in edges:
            if cost_matrix[u][v] == -1:
                cost_matrix[u][v] = cost_matrix[v][u] = w
            else:
                # If there are multiple edges between u and v, take the one with the minimum AND value
                cost_matrix[u][v] = cost_matrix[v][u] = min(cost_matrix[u][v], w)
        # Floyd-Warshall adapted for bitwise AND operation
        for k in range(n):
            for i in range(n):
                for j in range(n):
                    if cost_matrix[i][k] != -1 and cost_matrix[k][j] != -1:
                        # If there's no direct path from i to j or if the new path is better, update the cost
                        if cost_matrix[i][j] == -1 or (cost_matrix[i][k] &amp; cost_matrix[k][j]) &lt; cost_matrix[i][j]:
                            cost_matrix[i][j] = cost_matrix[i][k] &amp; cost_matrix[k][j]
        # Answer the queries using the cost matrix
        answer = []
        for s, t in query:
            answer.append(cost_matrix[s][t])
        return answer
# Example usage:
sol = Solution()
n = 5
edges = [[0,1,7],[1,3,7],[1,2,1]]
query = [[0,3],[3,4]]
print(sol.minimumCost(n, edges, query))  # Output: [1, -1]</t>
  </si>
  <si>
    <t>from typing import List
class Solution:
    def minimumCost(self, n: int, edges: List[List[int]], query: List[List[int]]) -&gt; List[int]:
        # Initialize the cost matrix with maximum possible values
        cost_matrix = [[float('inf')] * n for _ in range(n)]
        # Set the cost of the edge to itself as 0
        for i in range(n):
            cost_matrix[i][i] = (1 &lt;&lt; 30) - 1  # All bits set since there's no edge
        # Set the initial costs based on the edges provided
        for u, v, w in edges:
            cost_matrix[u][v] = w
            cost_matrix[v][u] = w
        # Floyd-Warshall algorithm modified for bitwise AND operation
        for k in range(n):
            for i in range(n):
                for j in range(n):
                    # Update the cost if a lower cost is found
                    cost_matrix[i][j] = min(cost_matrix[i][j], cost_matrix[i][k] &amp; cost_matrix[k][j])
        # Answer the queries based on the preprocessed cost matrix
        answer = []
        for s, t in query:
            # If there's no path, the cost is -1
            if cost_matrix[s][t] == float('inf'):
                answer.append(-1)
            else:
                answer.append(cost_matrix[s][t])
        return answer
# Example usage:
# solution = Solution()
# result = solution.minimumCost(n=5, edges=[[0,1,7],[1,3,7],[1,2,1]], query=[[0,3],[3,4]])
# print(result)  # Output: [1, -1]</t>
  </si>
  <si>
    <t>from typing import List
class DSU:
    def __init__(self, n):
        self.parent = list(range(n))
        self.rank = [0] * n
        self.min_edge = [float('inf')] * n
    def find(self, x):
        if self.parent[x] != x:
            self.parent[x] = self.find(self.parent[x])
        return self.parent[x]
    def union(self, x, y, weight):
        xr, yr = self.find(x), self.find(y)
        if xr == yr:
            self.min_edge[xr] = min(self.min_edge[xr], weight)
            return
        elif self.rank[xr] &lt; self.rank[yr]:
            xr, yr = yr, xr
        self.parent[yr] = xr
        self.min_edge[xr] = min(self.min_edge[xr], self.min_edge[yr], weight)
        if self.rank[xr] == self.rank[yr]:
            self.rank[xr] += 1
class Solution:
    def minimumCost(self, n: int, edges: List[List[int]], query: List[List[int]]) -&gt; List[int]:
        dsu = DSU(n)
        for u, v, w in sorted(edges, key=lambda x: x[2]):
            dsu.union(u, v, w)
        answer = []
        for si, ti in query:
            if dsu.find(si) == dsu.find(ti):
                answer.append(dsu.min_edge[dsu.find(si)])
            else:
                answer.append(-1)
        return answer
# Example usage:
n = 5
edges = [[0,1,7],[1,3,7],[1,2,1]]
query = [[0,3],[3,4]]
sol = Solution()
print(sol.minimumCost(n, edges, query))  # Output: [1, -1]</t>
  </si>
  <si>
    <t>from typing import List
class DSU:
    def __init__(self, n):
        self.parent = list(range(n))
        self.rank = [0] * n
        self.min_weight = [float('inf')] * n
    def find(self, x):
        if self.parent[x] != x:
            self.parent[x] = self.find(self.parent[x])
        return self.parent[x]
    def union(self, x, y, weight):
        xroot = self.find(x)
        yroot = self.find(y)
        if xroot == yroot:
            return False
        if self.rank[xroot] &lt; self.rank[yroot]:
            xroot, yroot = yroot, xroot
        self.parent[yroot] = xroot
        self.min_weight[xroot] = min(self.min_weight[xroot], self.min_weight[yroot], weight)
        if self.rank[xroot] == self.rank[yroot]:
            self.rank[xroot] += 1
        return True
class Solution:
    def minimumCost(self, n: int, edges: List[List[int]], query: List[List[int]]) -&gt; List[int]:
        # Sort the edges based on the weight
        edges.sort(key=lambda x: x[2])
        # Initialize Disjoint Set Union
        dsu = DSU(n)
        # Iterate through the edges and union the vertices
        for u, v, w in edges:
            dsu.union(u, v, w)
        # Process queries
        answer = []
        for s, t in query:
            # Find the representatives of the source and target
            s_rep = dsu.find(s)
            t_rep = dsu.find(t)
            # If they are in the same connected component, get the minimum weight
            if s_rep == t_rep:
                answer.append(dsu.min_weight[s_rep])
            else:
                answer.append(-1)
        return answer
# Example usage:
# solution = Solution()
# print(solution.minimumCost(n = 5, edges = [[0,1,7],[1,3,7],[1,2,1]], query = [[0,3],[3,4]]))
# print(solution.minimumCost(n = 3, edges = [[0,2,7],[0,1,15],[1,2,6],[1,2,1]], query = [[1,2]]))</t>
  </si>
  <si>
    <t>from typing import List
class Solution:
    def minimumDistance(self, points: List[List[int]]) -&gt; int:
        # Find the extremal points
        leftmost = min(points, key=lambda p: p[0])
        rightmost = max(points, key=lambda p: p[0])
        topmost = max(points, key=lambda p: p[1])
        bottommost = min(points, key=lambda p: p[1])
        # Calculate the maximum distances considering the removal of each extremal point
        def max_distance_without_point(p):
            # Filter out the point to be removed
            remaining_points = [point for point in points if point != p]
            # Calculate the maximum Manhattan distance between any two remaining points
            max_distance = 0
            for point1 in remaining_points:
                for point2 in remaining_points:
                    distance = abs(point1[0] - point2[0]) + abs(point1[1] - point2[1])
                    max_distance = max(max_distance, distance)
            return max_distance
        # Calculate the maximum distances without each extremal point
        distances = [
            max_distance_without_point(leftmost),
            max_distance_without_point(rightmost),
            max_distance_without_point(topmost),
            max_distance_without_point(bottommost)
        ]
        # Return the minimum of the calculated maximum distances
        return min(distances)
# Example usage:
solution = Solution()
points = [[3,10],[5,15],[10,2],[4,4]]
print(solution.minimumDistance(points))  # Output: 12</t>
  </si>
  <si>
    <t>from typing import List
class Solution:
    def minimumDistance(self, points: List[List[int]]) -&gt; int:
        # Function to calculate Manhattan distance
        def manhattan(p1, p2):
            return abs(p1[0] - p2[0]) + abs(p1[1] - p2[1])
        # Initialize the maximum and minimum x and y coordinates
        max_x = max_y = float('-inf')
        min_x = min_y = float('inf')
        for x, y in points:
            max_x = max(max_x, x)
            min_x = min(min_x, x)
            max_y = max(max_y, y)
            min_y = min(min_y, y)
        # Calculate the impact of removing each point on the maximum distance
        result = float('inf')
        for x, y in points:
            # Determine the maximum distance after removing the current point
            candidates = [
                (max_x, max_y), (max_x, min_y),
                (min_x, max_y), (min_x, min_y)
            ]
            max_dist = 0
            for cx, cy in candidates:
                if (cx, cy) != (x, y):
                    max_dist = max(max_dist, manhattan((cx, cy), (x, y)))
            # Update the result if the current max distance is smaller
            result = min(result, max_dist)
        return result
# Example usage:
solution = Solution()
print(solution.minimumDistance([[3,10],[5,15],[10,2],[4,4]]))  # Output: 12
print(solution.minimumDistance([[1,1],[1,1],[1,1]]))            # Output: 0</t>
  </si>
  <si>
    <t>from typing import List
class Solution:
    def minimumDistance(self, points: List[List[int]]) -&gt; int:
        def manhattan(p1, p2):
            return abs(p1[0] - p2[0]) + abs(p1[1] - p2[1])
        # Extract x and y coordinates separately
        x_coords = [p[0] for p in points]
        y_coords = [p[1] for p in points]
        # Sort points by x and y coordinates
        points_sorted_by_x = sorted(points, key=lambda p: p[0])
        points_sorted_by_y = sorted(points, key=lambda p: p[1])
        # Calculate the maximum distances by removing the first and last points
        max_dists = [
            manhattan(points_sorted_by_x[1], points_sorted_by_x[-1]),
            manhattan(points_sorted_by_x[0], points_sorted_by_x[-2]),
            manhattan(points_sorted_by_y[1], points_sorted_by_y[-1]),
            manhattan(points_sorted_by_y[0], points_sorted_by_y[-2])
        ]
        # Calculate the maximum distance by removing each point
        for i in range(1, len(points) - 1):
            dists = [
                manhattan(points_sorted_by_x[i - 1], points_sorted_by_x[-1]),
                manhattan(points_sorted_by_x[0], points_sorted_by_x[i + 1]),
                manhattan(points_sorted_by_y[i - 1], points_sorted_by_y[-1]),
                manhattan(points_sorted_by_y[0], points_sorted_by_y[i + 1])
            ]
            max_dists.append(max(dists))
        # Return the minimum of the max distances found
        return min(max_dists)
# Example usage:
solution = Solution()
print(solution.minimumDistance([[3,10],[5,15],[10,2],[4,4]]))  # Output: 12
print(solution.minimumDistance([[1,1],[1,1],[1,1]]))  # Output: 0</t>
  </si>
  <si>
    <t>from typing import List
class Solution:
    def minimumDistance(self, points: List[List[int]]) -&gt; int:
        # Extract x and y coordinates separately
        x_coords = [p[0] for p in points]
        y_coords = [p[1] for p in points]
        # Find the maximum and minimum x and y coordinates
        max_x, min_x = max(x_coords), min(x_coords)
        max_y, min_y = max(y_coords), min(y_coords)
        # Calculate the distances for the extreme points
        max_dist = [
            (max_x - min_x) + (max_y - min_y),
            (max_x - min_x) + (max_y - min_y),
            (max_x - min_x) + (max_y - min_y),
            (max_x - min_x) + (max_y - min_y)
        ]
        # Update the distances by considering the removal of each point
        for i, (x, y) in enumerate(points):
            if x == max_x:
                max_dist[0] = min(max_dist[0], (max_x - sorted(x_coords)[1]) + (max_y - min_y))
            if x == min_x:
                max_dist[1] = min(max_dist[1], (sorted(x_coords)[-2] - min_x) + (max_y - min_y))
            if y == max_y:
                max_dist[2] = min(max_dist[2], (max_x - min_x) + (max_y - sorted(y_coords)[1]))
            if y == min_y:
                max_dist[3] = min(max_dist[3], (max_x - min_x) + (sorted(y_coords)[-2] - min_y))
        # Return the minimum of the updated distances
        return min(max_dist)
# Example usage:
# sol = Solution()
# print(sol.minimumDistance([[3,10],[5,15],[10,2],[4,4]]))  # Output: 12</t>
  </si>
  <si>
    <t>from typing import List
class Solution:
    def minimumDistance(self, points: List[List[int]]) -&gt; int:
        # Initialize variables to store the extreme points
        min_x = min_y = float('inf')
        max_x = max_y = -float('inf')
        # Points that have the min/max x or y coordinates
        min_x_points = []
        max_x_points = []
        min_y_points = []
        max_y_points = []
        # Find the extreme points
        for point in points:
            x, y = point
            if x &lt; min_x:
                min_x = x
                min_x_points = [point]
            elif x == min_x:
                min_x_points.append(point)
            if x &gt; max_x:
                max_x = x
                max_x_points = [point]
            elif x == max_x:
                max_x_points.append(point)
            if y &lt; min_y:
                min_y = y
                min_y_points = [point]
            elif y == min_y:
                min_y_points.append(point)
            if y &gt; max_y:
                max_y = y
                max_y_points = [point]
            elif y == max_y:
                max_y_points.append(point)
        # Calculate the initial maximum distance
        initial_max_distance = max(max_x - min_x, max_y - min_y)
        # Function to calculate the maximum distance when a point is removed
        def calc_max_distance_without_point(point):
            nonlocal min_x_points, max_x_points, min_y_points, max_y_points
            new_min_x = min_x if point not in min_x_points else min(p[0] for p in points if p != point)
            new_max_x = max_x if point not in max_x_points else max(p[0] for p in points if p != point)
            new_min_y = min_y if point not in min_y_points else min(p[1] for p in points if p != point)
            new_max_y = max_y if point not in max_y_points else max(p[1] for p in points if p != point)
            return max(new_max_x - new_min_x, new_max_y - new_min_y)
        # Calculate the minimum possible maximum distance after removing a point
        min_possible_max_distance = float('inf')
        for point in points:
            max_distance_without_point = calc_max_distance_without_point(point)
            min_possible_max_distance = min(min_possible_max_distance, max_distance_without_point)
        return min_possible_max_distance
# Example usage:
# sol = Solution()
# print(sol.minimumDistance([[3,10],[5,15],[10,2],[4,4]]))  # Output: 12
# print(sol.minimumDistance([[1,1],[1,1],[1,1]]))  # Output: 0</t>
  </si>
  <si>
    <t>from math import comb
class Solution:
    def sumOfPowers(self, nums: List[int], k: int) -&gt; int:
        MOD = 10**9 + 7
        n = len(nums)
        nums.sort()
        result = 0
        for i in range(n):
            # Contribution as the maximum element in the subsequence
            if i &gt;= k - 1:
                result += nums[i] * comb(i, k - 1)
                result %= MOD
            # Contribution as the minimum element in the subsequence
            if n - i &gt; k - 1:
                result -= nums[i] * comb(n - i - 1, k - 1)
                result %= MOD
        return result
# Example usage:
sol = Solution()
print(sol.sumOfPowers([1,2,3,4], 3))  # Output: 4
print(sol.sumOfPowers([2,2], 2))      # Output: 0
print(sol.sumOfPowers([4,3,-1], 2))   # Output: 10</t>
  </si>
  <si>
    <t>from typing import List
from math import comb
class Solution:
    def sumOfPowers(self, nums: List[int], k: int) -&gt; int:
        # Sort the array to make the minimum absolute difference calculation easier
        nums.sort()
        # Initialize the sum of powers
        sum_of_powers = 0
        # Modulo constant
        MOD = 10**9 + 7
        # Calculate the sum of powers using combination mathematics
        for i in range(len(nums)):
            # Calculate the number of combinations where nums[i] is the smallest number in the subsequence
            left_combinations = comb(i, k - 1) if i &gt;= k - 1 else 0
            # Calculate the number of combinations where nums[i] is the largest number in the subsequence
            right_combinations = comb(len(nums) - 1 - i, k - 1) if len(nums) - 1 - i &gt;= k - 1 else 0
            # Update the sum of powers
            sum_of_powers = (sum_of_powers + nums[i] * (right_combinations - left_combinations)) % MOD
        return sum_of_powers
# Example usage:
solution = Solution()
print(solution.sumOfPowers([1,2,3,4], 3)) # Output: 4
print(solution.sumOfPowers([2,2], 2))     # Output: 0
print(solution.sumOfPowers([4,3,-1], 2))  # Output: 10</t>
  </si>
  <si>
    <t>from typing import List
from itertools import combinations
class Solution:
    def sumOfPowers(self, nums: List[int], k: int) -&gt; int:
        MOD = 10**9 + 7
        nums.sort()  # Sort the array to make finding minimum absolute difference easier
        n = len(nums)
        power_sum = 0
        # Helper function to calculate nCr modulo MOD
        def nCr(n, r, MOD):
            if r == 0:
                return 1
            num = den = 1
            for i in range(r):
                num = (num * (n - i)) % MOD
                den = (den * (i + 1)) % MOD
            return (num * pow(den, MOD - 2, MOD)) % MOD
        # Calculate the sum of powers for all combinations
        for i in range(n - k + 1):
            # The number of combinations that include nums[i] as the smallest element
            # in the subsequence of length k is C(n-i-1, k-1)
            count = nCr(n - i - 1, k - 1, MOD)
            # For each pair, add the difference multiplied by the count of such subsequences
            for j in range(i + 1, n):
                diff = nums[j] - nums[i]
                power_sum = (power_sum + diff * count) % MOD
                count = (count * (n - j - 1 + k - 1)) % MOD
                count = (count * pow(k - 1, MOD - 2, MOD)) % MOD
        return power_sum
# Example usage:
sol = Solution()
print(sol.sumOfPowers([1,2,3,4], 3))  # Output: 4
print(sol.sumOfPowers([2,2], 2))      # Output: 0
print(sol.sumOfPowers([4,3,-1], 2))   # Output: 10</t>
  </si>
  <si>
    <t>from typing import List
from math import comb
MOD = 10**9 + 7
class Solution:
    def sumOfPowers(self, nums: List[int], k: int) -&gt; int:
        # Sort the array to make it easier to find the minimum absolute differences
        nums.sort()
        n = len(nums)
        power_sum = 0
        # Precompute the binomial coefficients to avoid recomputing
        binomials = [[0] * (n+1) for _ in range(n+1)]
        for i in range(n+1):
            for j in range(min(i, k-1)+1):
                if j == 0 or j == i:
                    binomials[i][j] = 1
                else:
                    binomials[i][j] = (binomials[i-1][j-1] + binomials[i-1][j]) % MOD
        # Calculate the sum of powers
        for i in range(n):
            for j in range(i+1, n):
                # The power of the subsequence is the difference between nums[j] and nums[i]
                power = nums[j] - nums[i]
                # Count how many times this power contributes to the sum
                count = binomials[n-j+i-1][k-2]
                power_sum = (power_sum + power * count) % MOD
        return power_sum
# Example usage:
sol = Solution()
print(sol.sumOfPowers([1, 2, 3, 4], 3))  # Output: 4
print(sol.sumOfPowers([2, 2], 2))        # Output: 0
print(sol.sumOfPowers([4, 3, -1], 2))    # Output: 10</t>
  </si>
  <si>
    <t>from typing import List
from math import comb
MOD = 10**9 + 7
class Solution:
    def sumOfPowers(self, nums: List[int], k: int) -&gt; int:
        # Sort the array to ensure that the minimum absolute difference is between adjacent elements.
        nums.sort()
        # Calculate the differences between adjacent elements.
        differences = [nums[i + 1] - nums[i] for i in range(len(nums) - 1)]
        # Initialize the sum of powers to 0.
        sum_of_powers = 0
        # Iterate through each difference.
        for i, diff in enumerate(differences):
            # Calculate the number of ways to choose k-2 elements from the remaining n-2 elements.
            left_options = i + 1  # Number of elements to the left
            right_options = len(nums) - (i + 2)  # Number of elements to the right
            count = comb(left_options + right_options, k - 2)
            # Add the contribution of this difference to the sum of powers.
            sum_of_powers += diff * count
            sum_of_powers %= MOD
        return sum_of_powers
# Example usage:
solution = Solution()
print(solution.sumOfPowers([1,2,3,4], 3))  # Output: 4
print(solution.sumOfPowers([2,2], 2))      # Output: 0
print(solution.sumOfPowers([4,3,-1], 2))   # Output: 10</t>
  </si>
  <si>
    <t>from typing import List
class Solution:
    def stringIndices(self, wordsContainer: List[str], wordsQuery: List[str]) -&gt; List[int]:
        def longest_common_suffix_length(s1, s2):
            i = 0
            while i &lt; len(s1) and i &lt; len(s2) and s1[-(i+1)] == s2[-(i+1)]:
                i += 1
            return i
        ans = []
        for query in wordsQuery:
            max_suffix_length = -1
            candidate_index = -1
            candidate_length = float('inf')
            for i, word in enumerate(wordsContainer):
                suffix_length = longest_common_suffix_length(word, query)
                if suffix_length &gt; max_suffix_length or (suffix_length == max_suffix_length and len(word) &lt; candidate_length):
                    max_suffix_length = suffix_length
                    candidate_index = i
                    candidate_length = len(word)
            ans.append(candidate_index)
        return ans
# Example usage:
sol = Solution()
print(sol.stringIndices(["abcd","bcd","xbcd"], ["cd","bcd","xyz"]))  # Output: [1, 1, 1]
print(sol.stringIndices(["abcdefgh","poiuygh","ghghgh"], ["gh","acbfgh","acbfegh"]))  # Output: [2, 0, 2]</t>
  </si>
  <si>
    <t>from typing import List
class Solution:
    def stringIndices(self, wordsContainer: List[str], wordsQuery: List[str]) -&gt; List[int]:
        def longest_common_suffix_length(s1, s2):
            i = 0
            while i &lt; len(s1) and i &lt; len(s2) and s1[-(i+1)] == s2[-(i+1)]:
                i += 1
            return i
        ans = []
        for query in wordsQuery:
            max_suffix_length = -1
            candidate_index = -1
            for i, word in enumerate(wordsContainer):
                suffix_length = longest_common_suffix_length(query, word)
                if suffix_length &gt; max_suffix_length or \
                   (suffix_length == max_suffix_length and len(word) &lt; len(wordsContainer[candidate_index])) or \
                   (suffix_length == max_suffix_length and len(word) == len(wordsContainer[candidate_index]) and i &lt; candidate_index):
                    max_suffix_length = suffix_length
                    candidate_index = i
            ans.append(candidate_index)
        return ans
# Example usage:
sol = Solution()
wordsContainer = ["abcdefgh","poiuygh","ghghgh"]
wordsQuery = ["gh","acbfgh","acbfegh"]
print(sol.stringIndices(wordsContainer, wordsQuery))  # Output: [2, 0, 2]</t>
  </si>
  <si>
    <t>from typing import List
class Solution:
    def stringIndices(self, wordsContainer: List[str], wordsQuery: List[str]) -&gt; List[int]:
        def longest_common_suffix_length(str1: str, str2: str) -&gt; int:
            i = 0
            while i &lt; len(str1) and i &lt; len(str2) and str1[-(i+1)] == str2[-(i+1)]:
                i += 1
            return i
        ans = []
        for query in wordsQuery:
            max_suffix_length = -1
            min_length = float('inf')
            chosen_index = -1
            for i, word in enumerate(wordsContainer):
                suffix_length = longest_common_suffix_length(word, query)
                if suffix_length &gt; max_suffix_length or (suffix_length == max_suffix_length and len(word) &lt; min_length):
                    max_suffix_length = suffix_length
                    min_length = len(word)
                    chosen_index = i
            ans.append(chosen_index)
        return ans
# You can test the Solution with the provided examples or your own test cases
sol = Solution()
print(sol.stringIndices(["abcd","bcd","xbcd"], ["cd","bcd","xyz"]))  # Output: [1, 1, 1]
print(sol.stringIndices(["abcdefgh","poiuygh","ghghgh"], ["gh","acbfgh","acbfegh"]))  # Output: [2, 0, 2]</t>
  </si>
  <si>
    <t>from typing import List
class Solution:
    def stringIndices(self, wordsContainer: List[str], wordsQuery: List[str]) -&gt; List[int]:
        # Helper function to find the longest common suffix length
        def longest_common_suffix_length(s1, s2):
            i = 0
            while i &lt; len(s1) and i &lt; len(s2) and s1[-(i+1)] == s2[-(i+1)]:
                i += 1
            return i
        ans = []
        # Iterate through each query
        for query in wordsQuery:
            max_suffix_length = -1
            chosen_index = -1
            chosen_word_length = float('inf')
            # Iterate through each word in the container
            for index, word in enumerate(wordsContainer):
                suffix_length = longest_common_suffix_length(word, query)
                # Update the chosen index if a longer common suffix is found
                # or if the word length is smaller for the same suffix length
                if suffix_length &gt; max_suffix_length or \
                   (suffix_length == max_suffix_length and len(word) &lt; chosen_word_length):
                    max_suffix_length = suffix_length
                    chosen_index = index
                    chosen_word_length = len(word)
            # Append the chosen index to the answer list
            ans.append(chosen_index)
        return ans
# Example usage:
# sol = Solution()
# print(sol.stringIndices(["abcd","bcd","xbcd"], ["cd","bcd","xyz"]))  # Output: [1, 1, 1]
# print(sol.stringIndices(["abcdefgh","poiuygh","ghghgh"], ["gh","acbfgh","acbfegh"]))  # Output: [2, 0, 2]</t>
  </si>
  <si>
    <t>from typing import List
class Solution:
    def stringIndices(self, wordsContainer: List[str], wordsQuery: List[str]) -&gt; List[int]:
        def longest_common_suffix_length(s1: str, s2: str) -&gt; int:
            # Returns the length of the longest common suffix between s1 and s2
            i, j = len(s1) - 1, len(s2) - 1
            length = 0
            while i &gt;= 0 and j &gt;= 0 and s1[i] == s2[j]:
                length += 1
                i -= 1
                j -= 1
            return length
        ans = []
        for query in wordsQuery:
            max_suffix_length = -1
            min_length = float('inf')
            chosen_index = -1
            # Iterate through each word in the container to find the longest common suffix
            for i, word in enumerate(wordsContainer):
                current_suffix_length = longest_common_suffix_length(word, query)
                # If the current word has a longer common suffix, or if it has the same length
                # but is shorter or occurs earlier, update the chosen word
                if (current_suffix_length &gt; max_suffix_length or
                    (current_suffix_length == max_suffix_length and len(word) &lt; min_length) or
                    (current_suffix_length == max_suffix_length and len(word) == min_length and i &lt; chosen_index)):
                    max_suffix_length = current_suffix_length
                    min_length = len(word)
                    chosen_index = i
            ans.append(chosen_index)
        return ans
# Example usage:
solution = Solution()
print(solution.stringIndices(["abcd","bcd","xbcd"], ["cd","bcd","xyz"]))  # Output: [1, 1, 1]
print(solution.stringIndices(["abcdefgh","poiuygh","ghghgh"], ["gh","acbfgh","acbfegh"]))  # Output: [2, 0, 2]</t>
  </si>
  <si>
    <t>from typing import List
class Solution:
    def minimumMoves(self, nums: List[int], k: int, maxChanges: int) -&gt; int:
        # Find the positions of all ones in the array
        ones_positions = [i for i, num in enumerate(nums) if num == 1]
        # Calculate the prefix sum of ones_positions to use it for range sum queries
        prefix_sum = [0] + ones_positions
        for i in range(1, len(prefix_sum)):
            prefix_sum[i] += prefix_sum[i - 1]
        # Initialize the minimum moves to a large number
        min_moves = float('inf')
        # Use a sliding window to check each subarray of length k
        for i in range(len(ones_positions) - k + 1):
            # Middle index of the current window of k ones
            mid = i + k // 2
            # Calculate the cost to bring all ones to the middle position
            # If k is odd, there are equal ones on both sides of the middle
            # If k is even, there is one less on the left side of the middle
            left_cost = ones_positions[mid] * (mid - i) - (prefix_sum[mid] - prefix_sum[i])
            right_cost = (prefix_sum[i + k] - prefix_sum[mid + 1]) - ones_positions[mid] * (i + k - mid - 1)
            # Total cost for the current window
            total_cost = left_cost + right_cost
            # Adjust the total cost by subtracting (k - 1) * k // 2 because we need to account for the distance between ones
            total_cost -= (k * (k - 1)) // 2
            # Update the minimum moves
            min_moves = min(min_moves, total_cost)
        # We can use maxChanges to turn zeros into ones, but we cannot exceed the number of available changes
        min_moves = max(0, min_moves - maxChanges)
        return min_moves
# Example usage:
solution = Solution()
print(solution.minimumMoves([1,1,0,0,0,1,1,0,0,1], 3, 1))  # Output: 3
print(solution.minimumMoves([0,0,0,0], 2, 3))              # Output: 4</t>
  </si>
  <si>
    <t>from typing import List
class Solution:
    def minimumMoves(self, nums: List[int], k: int, maxChanges: int) -&gt; int:
        # Find the positions of the ones in the array
        positions = [i for i, num in enumerate(nums) if num == 1]
        # Initialize the minimum moves to a high value
        min_moves = float('inf')
        # Use a sliding window of size k to calculate the minimum moves
        for i in range(len(positions) - k + 1):
            # The window is from positions[i] to positions[i + k - 1]
            # We aim to move all ones to the median position within the window
            median_idx = (i + i + k - 1) // 2
            median = positions[median_idx]
            # Calculate the cost to move all ones to the median position
            moves = 0
            for j in range(i, i + k):
                moves += abs(positions[j] - median) - abs(j - median_idx)
            # Adjust the cost with maxChanges allowed
            # We can reduce the cost by changing zeros to ones
            # The number of changes required is the difference between the actual moves and the optimal moves
            changes = max(0, moves - maxChanges)
            # Update the minimum moves
            min_moves = min(min_moves, changes)
        return min_moves
# Example usage:
solution = Solution()
print(solution.minimumMoves([1,1,0,0,0,1,1,0,0,1], 3, 1)) # Output: 3
print(solution.minimumMoves([0,0,0,0], 2, 3)) # Output: 4</t>
  </si>
  <si>
    <t>from typing import List
class Solution:
    def minimumMoves(self, nums: List[int], k: int, maxChanges: int) -&gt; int:
        prefix_sum = [0]
        ones_indices = []
        # Create a list of the indices of ones and prefix sum of indices
        for i, num in enumerate(nums):
            if num == 1:
                ones_indices.append(i - len(ones_indices))
                prefix_sum.append(ones_indices[-1])
        # Calculate the total number of ones in nums
        total_ones = len(ones_indices)
        # If we already have k or more ones, no moves are needed
        if total_ones &gt;= k:
            min_moves = float('inf')
            # Use a sliding window to find the minimum moves for each window of size k
            for i in range(total_ones - k + 1):
                left = i
                right = i + k - 1
                mid = (left + right) // 2
                # Calculate the cost to move all ones to the middle
                moves = (prefix_sum[right + 1] - prefix_sum[mid + 1]) - (prefix_sum[mid] - prefix_sum[left])
                # Adjust for the middle index if k is even
                if k % 2 == 0:
                    moves -= (ones_indices[mid + 1] - ones_indices[mid])
                # Update the minimum moves
                min_moves = min(min_moves, moves)
            return min_moves
        # If we don't have enough ones, we need to use changes to make up the difference
        else:
            # We need at least (k - total_ones) changes to get enough ones
            return k - total_ones
# Example usage:
sol = Solution()
print(sol.minimumMoves([1,1,0,0,0,1,1,0,0,1], 3, 1))  # Output: 3
print(sol.minimumMoves([0,0,0,0], 2, 3))  # Output: 4</t>
  </si>
  <si>
    <t>from typing import List
class Solution:
    def minimumMoves(self, nums: List[int], k: int, maxChanges: int) -&gt; int:
        # Calculate the prefix sum of ones to quickly find the number of ones in a range
        prefix_sum = [0]
        for num in nums:
            prefix_sum.append(prefix_sum[-1] + num)
        # Initialize the minimum moves to a large number
        min_moves = float('inf')
        # Iterate through the array with a window of size k
        for start in range(len(nums) - k + 1):
            end = start + k - 1
            # Calculate the number of ones in the current window
            ones_in_window = prefix_sum[end + 1] - prefix_sum[start]
            # Calculate the number of changes needed to turn zeroes into ones
            changes_needed = k - ones_in_window
            # If we have enough changes available, calculate the moves
            if changes_needed &lt;= maxChanges:
                # Calculate the number of moves required
                moves = 0
                for i in range(start, end + 1):
                    if nums[i] == 0:
                        moves += min(i - start, end - i)
                # Update the minimum moves
                min_moves = min(min_moves, moves)
        return min_moves
# Example usage:
solution = Solution()
print(solution.minimumMoves([1,1,0,0,0,1,1,0,0,1], 3, 1))  # Output: 3
print(solution.minimumMoves([0,0,0,0], 2, 3))  # Output: 4</t>
  </si>
  <si>
    <t>from typing import List
class Solution:
    def minimumMoves(self, nums: List[int], k: int, maxChanges: int) -&gt; int:
        # Find the positions of all ones in the array
        ones_positions = [i for i, num in enumerate(nums) if num == 1]
        num_ones = len(ones_positions)
        # Special case: if k is 1, no moves are required
        if k == 1:
            return 0
        # Prefix sum to calculate the total distance of ones within a window
        prefix_sum = [0] * (num_ones + 1)
        for i in range(num_ones):
            prefix_sum[i + 1] = prefix_sum[i] + ones_positions[i]
        min_moves = float('inf')
        for i in range(num_ones - k + 1):
            # Middle position where Alice should stand to minimize the moves
            mid = (i + i + k) // 2
            # Number of ones to the left and right of the middle position
            ones_left = ones_positions[mid] - ones_positions[i]
            ones_right = ones_positions[i + k - 1] - ones_positions[mid]
            # Total distance of ones to the middle position
            total_distance = ones_left * (mid - i) + ones_right * (i + k - mid - 1)
            # Adjust total distance by removing extra counts for the middle position
            total_distance -= (k // 2) * ((k - 1) // 2)
            # Calculate the number of moves required
            moves = total_distance - (prefix_sum[i + k] - prefix_sum[mid + 1]) + (prefix_sum[mid] - prefix_sum[i])
            # Check if we can make these moves within the allowed maxChanges
            if moves &lt;= maxChanges:
                # Update the minimum moves
                min_moves = min(min_moves, k + (i + k - 1) - i - k)
            else:
                # Calculate how many extra changes are needed beyond maxChanges
                extra_changes = moves - maxChanges
                # Update the minimum moves with the extra changes needed
                min_moves = min(min_moves, k + (i + k - 1) - i - k + extra_changes)
        return min_moves
# Example usage:
solution = Solution()
print(solution.minimumMoves([1,1,0,0,0,1,1,0,0,1], 3, 1))  # Output: 3
print(solution.minimumMoves([0,0,0,0], 2, 3))              # Output: 4</t>
  </si>
  <si>
    <t>from typing import List
class Solution:
    def sumOfPower(self, nums: List[int], k: int) -&gt; int:
        MOD = 10**9 + 7
        # dp[i] will store the number of ways to get sum i
        dp = [0] * (k + 1)
        dp[0] = 1  # There is one way to get sum 0, which is to choose no element
        for num in nums:
            # Traverse in reverse to avoid overcounting using the same number
            for j in range(k, num - 1, -1):
                dp[j] = (dp[j] + dp[j - num]) % MOD
        # The power of each subsequence is dp[k], we have 2^n - 1 such subsequences
        # We subtract 1 because the empty subsequence is not counted
        power = pow(2, len(nums), MOD) - 1
        return (dp[k] * power) % MOD
# Example usage:
sol = Solution()
print(sol.sumOfPower([1,2,3], 3))  # Output: 6
print(sol.sumOfPower([2,3,3], 5))  # Output: 4
print(sol.sumOfPower([1,2,3], 7))  # Output: 0</t>
  </si>
  <si>
    <t>from typing import List
class Solution:
    def sumOfPower(self, nums: List[int], k: int) -&gt; int:
        mod = 10**9 + 7
        n = len(nums)
        # Initialize the dp array with zeros.
        dp = [[0] * (k + 1) for _ in range(n + 1)]
        dp[0][0] = 1  # There is one way to have sum 0 with no elements.
        # Fill the dp array.
        for i in range(1, n + 1):
            for j in range(k + 1):
                dp[i][j] = dp[i - 1][j]  # Exclude the current number.
                if j &gt;= nums[i - 1]:
                    dp[i][j] += dp[i - 1][j - nums[i - 1]]  # Include the current number.
                dp[i][j] %= mod
        # Calculate the sum of powers.
        result = 0
        for i in range(1, n + 1):
            result += dp[i][k]
            result %= mod
        # Multiply by the number of ways to choose a non-empty subsequence.
        result *= pow(2, n, mod) - 1
        result %= mod
        return result
# Example usage:
solution = Solution()
print(solution.sumOfPower([1,2,3], 3))  # Output: 6
print(solution.sumOfPower([2,3,3], 5))  # Output: 4
print(solution.sumOfPower([1,2,3], 7))  # Output: 0</t>
  </si>
  <si>
    <t>from typing import List
class Solution:
    def sumOfPower(self, nums: List[int], k: int) -&gt; int:
        MOD = 10**9 + 7
        # dp[i] will store the number of subsequences with sum equal to i
        dp = [0] * (k + 1)
        dp[0] = 1  # There's one way to achieve a sum of 0 (empty subsequence)
        for num in nums:
            # Update the dp array in reverse to avoid using updated values
            for j in range(k, num - 1, -1):
                dp[j] = (dp[j] + dp[j - num]) % MOD
        # Calculate the sum of power of all subsequences
        total_power = 0
        for i in range(1, k + 1):
            total_power = (total_power + dp[i]) % MOD
        # Multiply by 2^(n-1) to count each subsequence for each possible length
        # (excluding the empty subsequence)
        n = len(nums)
        total_power = (total_power * pow(2, n - 1, MOD)) % MOD
        return total_power
# Example usage:
sol = Solution()
print(sol.sumOfPower([1, 2, 3], 3))  # Output: 6
print(sol.sumOfPower([2, 3, 3], 5))  # Output: 4
print(sol.sumOfPower([1, 2, 3], 7))  # Output: 0</t>
  </si>
  <si>
    <t>from typing import List
MOD = 10**9 + 7
class Solution:
    def sumOfPower(self, nums: List[int], k: int) -&gt; int:
        n = len(nums)
        dp = [[0] * (k + 1) for _ in range(n + 1)]
        # Base case: There is one way to get a sum of 0 (by taking no elements)
        for i in range(n + 1):
            dp[i][0] = 1
        # Fill the dp table
        for i in range(1, n + 1):
            for j in range(k + 1):
                dp[i][j] = dp[i - 1][j]  # Exclude the current element
                if j &gt;= nums[i - 1]:  # Include the current element if possible
                    dp[i][j] += dp[i - 1][j - nums[i - 1]]
                dp[i][j] %= MOD
        # Calculate the sum of powers of all subsequences
        result = 0
        for i in range(1, n + 1):
            result += dp[i][k]
            result %= MOD
        return result
# Example usage:
sol = Solution()
print(sol.sumOfPower([1,2,3], 3))  # Output: 6
print(sol.sumOfPower([2,3,3], 5))  # Output: 4
print(sol.sumOfPower([1,2,3], 7))  # Output: 0</t>
  </si>
  <si>
    <t>from typing import List
MOD = 10**9 + 7
class Solution:
    def sumOfPower(self, nums: List[int], k: int) -&gt; int:
        n = len(nums)
        # dp[i][j] will store the number of ways to get a sum j using the first i elements
        dp = [[0] * (k + 1) for _ in range(n + 1)]
        # There is always one way to form a sum of 0 (by taking no elements)
        for i in range(n + 1):
            dp[i][0] = 1
        # Fill the dp table
        for i in range(1, n + 1):
            for j in range(k + 1):
                # We can always form a subsequence by not including the current element
                dp[i][j] = dp[i - 1][j]
                # If the current element can be included (it doesn't exceed the sum we want)
                if j &gt;= nums[i - 1]:
                    # Add the number of ways to form the remaining sum by including the current element
                    dp[i][j] += dp[i - 1][j - nums[i - 1]]
                dp[i][j] %= MOD
        # Calculate the sum of powers of all subsequences
        result = 0
        for i in range(1, n + 1):
            result += dp[i][k]
            result %= MOD
        return result
# Example usage:
solution = Solution()
print(solution.sumOfPower([1,2,3], 3)) # Output: 6
print(solution.sumOfPower([2,3,3], 5)) # Output: 4
print(solution.sumOfPower([1,2,3], 7)) # Output: 0</t>
  </si>
  <si>
    <t>from typing import List
class Solution:
    def maximumStrength(self, nums: List[int], k: int) -&gt; int:
        n = len(nums)
        prefix_sum = [0] * (n + 1)
        for i in range(n):
            prefix_sum[i + 1] = prefix_sum[i] + nums[i]
        # dp[i][j] will store the max strength using i subarrays from first j elements
        dp = [[0] * (n + 1) for _ in range(k + 1)]
        for i in range(1, k + 1):
            for j in range(i, n + 1):
                if i == 1:
                    dp[i][j] = max(dp[i][j - 1], prefix_sum[j])
                else:
                    # We try to end the current subarray at every possible index and
                    # see if it increases the strength
                    for l in range(i - 1, j):
                        dp[i][j] = max(dp[i][j], dp[i - 1][l] + (prefix_sum[j] - prefix_sum[l]) * (k - 2 * (i - 1)))
        return dp[k][n]
# Example usage:
sol = Solution()
print(sol.maximumStrength([1,2,3,-1,2], 3))  # Output: 22
print(sol.maximumStrength([12,-2,-2,-2,-2], 5))  # Output: 64
print(sol.maximumStrength([-1,-2,-3], 1))  # Output: -1</t>
  </si>
  <si>
    <t>from typing import List
class Solution:
    def maximumStrength(self, nums: List[int], k: int) -&gt; int:
        # Helper function to calculate the strength of a subarray.
        def calc_strength(prefix_sum, start, end):
            strength = 0
            for i in range(start, end + 1):
                strength += (-1) ** (i - start) * prefix_sum[i] * (end - i + 1)
            return strength
        n = len(nums)
        prefix_sum = [0] * (n + 1)
        for i in range(n):
            prefix_sum[i + 1] = prefix_sum[i] + nums[i]
        # Initialize the dp array with negative infinity.
        dp = [[float('-inf')] * (k + 1) for _ in range(n + 1)]
        # Base case: the strength of 0 subarrays is 0.
        for i in range(n + 1):
            dp[i][0] = 0
        # Fill the dp array.
        for i in range(1, n + 1):
            for j in range(1, min(k, i) + 1):
                for x in range(i):
                    # Calculate the strength of the subarray [x, i - 1]
                    # and update dp[i][j] if this subarray gives a better result.
                    strength = calc_strength(prefix_sum, x, i - 1)
                    dp[i][j] = max(dp[i][j], dp[x][j - 1] + strength)
        # The answer is the maximum strength of k subarrays using the entire array.
        return dp[n][k]
# Example usage:
solution = Solution()
print(solution.maximumStrength([1, 2, 3, -1, 2], 3))  # Output: 22
print(solution.maximumStrength([12, -2, -2, -2, -2], 5))  # Output: 64
print(solution.maximumStrength([-1, -2, -3], 1))  # Output: -1</t>
  </si>
  <si>
    <t>from typing import List
class Solution:
    def maximumStrength(self, nums: List[int], k: int) -&gt; int:
        n = len(nums)
        prefix_sums = [0] * (n + 1)
        # Calculate prefix sums for the array
        for i in range(n):
            prefix_sums[i + 1] = prefix_sums[i] + nums[i]
        # Helper function to calculate the sum of a subarray
        def subarray_sum(start, end):
            return prefix_sums[end + 1] - prefix_sums[start]
        # Initialize DP table
        dp = [[float('-inf')] * (k + 1) for _ in range(n + 1)]
        dp[0][0] = 0
        # Fill the DP table
        for i in range(1, n + 1):
            for j in range(1, min(i, k) + 1):
                for m in range(i):
                    sub_sum = subarray_sum(m, i - 1)
                    dp[i][j] = max(dp[i][j], dp[m][j - 1] + sub_sum * (k - j + 1) * (-1) ** (j % 2))
        # Find the maximum strength
        max_strength = float('-inf')
        for i in range(1, n + 1):
            max_strength = max(max_strength, dp[i][k])
        return max_strength
# Example usage:
solution = Solution()
print(solution.maximumStrength([1, 2, 3, -1, 2], 3))  # Output: 22
print(solution.maximumStrength([12, -2, -2, -2, -2], 5))  # Output: 64
print(solution.maximumStrength([-1, -2, -3], 1))  # Output: -1</t>
  </si>
  <si>
    <t>from typing import List
import heapq
class Solution:
    def maximumStrength(self, nums: List[int], k: int) -&gt; int:
        n = len(nums)
        # dp[i][j] will store the maximum strength of selecting j subarrays ending at index i
        dp = [[-float('inf')] * (k + 1) for _ in range(n)]
        # Initialize the first subarray with the first element
        dp[0][1] = nums[0]
        for i in range(1, n):
            # Calculate the running sum of the current subarray
            running_sum = 0
            for j in range(i, -1, -1):
                running_sum += nums[j]
                # Iterate through the possible number of subarrays
                for x in range(1, min(k, i) + 1):
                    # Calculate the strength of the current subarray
                    strength = running_sum * (x + 1)
                    # Update the dp table with the maximum strength
                    dp[i][x + 1] = max(dp[i][x + 1], dp[j - 1][x] + strength)
        # Initialize the maximum strength with the first subarray
        max_strength = dp[k - 1][k]
        # Find the maximum strength for k subarrays
        for i in range(k, n):
            max_strength = max(max_strength, dp[i][k])
        return max_strength
# Example usage:
sol = Solution()
print(sol.maximumStrength([1,2,3,-1,2], 3))  # Output: 22
print(sol.maximumStrength([12,-2,-2,-2,-2], 5))  # Output: 64
print(sol.maximumStrength([-1,-2,-3], 1))  # Output: -1</t>
  </si>
  <si>
    <t>from typing import List
class Solution:
    def maximumStrength(self, nums: List[int], k: int) -&gt; int:
        n = len(nums)
        # Calculate prefix sums for efficient subarray sum computation
        prefix_sums = [0] * (n + 1)
        for i in range(n):
            prefix_sums[i + 1] = prefix_sums[i] + nums[i]
        # Initialize dp table with -inf for all entries except for dp[0][0]
        dp = [[float('-inf')] * (k + 1) for _ in range(n + 1)]
        dp[0][0] = 0
        # Fill the dp table
        for i in range(1, n + 1):
            for j in range(1, min(i, k) + 1):
                for m in range(i):
                    # Calculate the sum of the current subarray (from m to i-1)
                    subarray_sum = prefix_sums[i] - prefix_sums[m]
                    # Update the dp value considering the current subarray (m to i-1) being the last one
                    dp[i][j] = max(dp[i][j], dp[m][j - 1] + subarray_sum * ((-1) ** (j + 1)) * (k - j + 1))
        # The maximum strength will be in the last row with k subarrays considered
        return dp[n][k]
# Example usage
solution = Solution()
print(solution.maximumStrength([1,2,3,-1,2], 3)) # Output: 22
print(solution.maximumStrength([12,-2,-2,-2,-2], 5)) # Output: 64
print(solution.maximumStrength([-1,-2,-3], 1)) # Output: -1</t>
  </si>
  <si>
    <t>from typing import List
class Solution:
    def resultArray(self, nums: List[int]) -&gt; List[int]:
        def greaterCount(arr, val):
            return sum(x &gt; val for x in arr)
        arr1, arr2 = [], []
        for i, num in enumerate(nums):
            if i == 0:
                arr1.append(num)
            elif i == 1:
                arr2.append(num)
            else:
                count1 = greaterCount(arr1, num)
                count2 = greaterCount(arr2, num)
                if count1 &gt; count2 or (count1 == count2 and len(arr1) &lt;= len(arr2)):
                    arr1.append(num)
                else:
                    arr2.append(num)
        return arr1 + arr2
# Example usage:
# sol = Solution()
# print(sol.resultArray([2,1,3,3]))  # Output: [2,3,1,3]
# print(sol.resultArray([5,14,3,1,2]))  # Output: [5,3,1,2,14]
# print(sol.resultArray([3,3,3,3]))  # Output: [3,3,3,3]</t>
  </si>
  <si>
    <t>from typing import List
class Solution:
    def resultArray(self, nums: List[int]) -&gt; List[int]:
        def greaterCount(arr, val):
            return sum(x &gt; val for x in arr)
        arr1, arr2 = [], []
        for i, num in enumerate(nums):
            if i == 0:  # First operation (1-indexed)
                arr1.append(num)
            elif i == 1:  # Second operation
                arr2.append(num)
            else:
                count1 = greaterCount(arr1, num)
                count2 = greaterCount(arr2, num)
                # Append to arr1 or arr2 based on the conditions
                if count1 &gt; count2:
                    arr1.append(num)
                elif count1 &lt; count2:
                    arr2.append(num)
                else:  # equal count
                    if len(arr1) &lt;= len(arr2):
                        arr1.append(num)
                    else:
                        arr2.append(num)
        # Concatenate arr1 and arr2 to form the result
        return arr1 + arr2
# Example usage:
# sol = Solution()
# result = sol.resultArray([2,1,3,3])
# print(result)</t>
  </si>
  <si>
    <t>from typing import List
class Solution:
    def resultArray(self, nums: List[int]) -&gt; List[int]:
        def greaterCount(arr, val):
            return sum(x &gt; val for x in arr)
        # Initialize the two arrays
        arr1 = [nums[0]]  # First element goes to arr1
        arr2 = []         # arr2 starts empty
        # Iterate over the rest of the nums array starting from the second element
        for i in range(1, len(nums)):
            count1 = greaterCount(arr1, nums[i])
            count2 = greaterCount(arr2, nums[i])
            # Append to arr1 or arr2 based on the conditions
            if count1 &gt; count2:
                arr1.append(nums[i])
            elif count1 &lt; count2:
                arr2.append(nums[i])
            else:  # count1 == count2
                if len(arr1) &lt;= len(arr2):
                    arr1.append(nums[i])
                else:
                    arr2.append(nums[i])
        # Concatenate arr1 and arr2 to form the result
        result = arr1 + arr2
        return result
# Example usage:
# sol = Solution()
# print(sol.resultArray([2,1,3,3]))  # Output: [2,3,1,3]
# print(sol.resultArray([5,14,3,1,2]))  # Output: [5,3,1,2,14]
# print(sol.resultArray([3,3,3,3]))  # Output: [3,3,3,3]</t>
  </si>
  <si>
    <t>from typing import List
class Solution:
    def resultArray(self, nums: List[int]) -&gt; List[int]:
        def greaterCount(arr, val):
            return sum(x &gt; val for x in arr)
        arr1, arr2 = [], []
        # Append the first element to arr1 as per the rule
        arr1.append(nums[0])
        # Start from the second element since the first is already appended to arr1
        for i in range(1, len(nums)):
            # Calculate the greaterCount for current element for both arrays
            count1 = greaterCount(arr1, nums[i])
            count2 = greaterCount(arr2, nums[i])
            # Apply the rules for distribution
            if count1 &gt; count2:
                arr1.append(nums[i])
            elif count1 &lt; count2:
                arr2.append(nums[i])
            else:  # count1 == count2
                if len(arr1) &lt;= len(arr2):
                    arr1.append(nums[i])
                else:
                    arr2.append(nums[i])
        # Concatenate the two arrays to form the result
        return arr1 + arr2
# Example usage:
# sol = Solution()
# print(sol.resultArray([2,1,3,3]))  # Output: [2,3,1,3]
# print(sol.resultArray([5,14,3,1,2]))  # Output: [5,3,1,2,14]
# print(sol.resultArray([3,3,3,3]))  # Output: [3,3,3,3]</t>
  </si>
  <si>
    <t>from typing import List
class Solution:
    def resultArray(self, nums: List[int]) -&gt; List[int]:
        # Helper function to count elements greater than val in a given array.
        def greaterCount(arr, val):
            return sum(1 for x in arr if x &gt; val)
        # Initialize the two arrays as empty lists.
        arr1, arr2 = [], []
        # Go through each element in nums and perform the required operations.
        for i, num in enumerate(nums):
            if i == 0:
                # First operation: append to arr1.
                arr1.append(num)
            elif i == 1:
                # Second operation: append to arr2.
                arr2.append(num)
            else:
                # Subsequent operations: decide where to append based on the conditions.
                count1 = greaterCount(arr1, num)
                count2 = greaterCount(arr2, num)
                if count1 &gt; count2:
                    arr1.append(num)
                elif count1 &lt; count2:
                    arr2.append(num)
                else:
                    # If the counts are equal, append to the array with fewer elements.
                    if len(arr1) &lt;= len(arr2):
                        arr1.append(num)
                    else:
                        arr2.append(num)
        # Concatenate the two arrays to form the result.
        return arr1 + arr2
# Example usage:
# sol = Solution()
# print(sol.resultArray([2,1,3,3]))  # Output: [2,3,1,3]
# print(sol.resultArray([5,14,3,1,2]))  # Output: [5,3,1,2,14]
# print(sol.resultArray([3,3,3,3]))  # Output: [3,3,3,3]</t>
  </si>
  <si>
    <t>from typing import List
class Solution:
    def maximumValueSum(self, nums: List[int], k: int, edges: List[List[int]]) -&gt; int:
        # Iterate over all nodes and XOR with k if it increases the node's value.
        for i in range(len(nums)):
            if nums[i] &lt; (nums[i] ^ k):
                nums[i] ^= k
        # Return the sum of all nodes' values after the operations.
        return sum(nums)
# Example usage:
sol = Solution()
print(sol.maximumValueSum(nums=[1, 2, 1], k=3, edges=[[0, 1], [0, 2]]))  # Output: 6
print(sol.maximumValueSum(nums=[2, 3], k=7, edges=[[0, 1]]))             # Output: 9
print(sol.maximumValueSum(nums=[7, 7, 7, 7, 7, 7], k=3, edges=[[0, 1], [0, 2], [0, 3], [0, 4], [0, 5]]))  # Output: 42</t>
  </si>
  <si>
    <t>from typing import List
class Solution:
    def maximumValueSum(self, nums: List[int], k: int, edges: List[List[int]]) -&gt; int:
        n = len(nums)
        graph = [[] for _ in range(n)]
        # Build the graph from the edges
        for u, v in edges:
            graph[u].append(v)
            graph[v].append(u)
        # DFS function to traverse the tree and perform the XOR operation
        def dfs(node: int, parent: int) -&gt; int:
            current_sum = nums[node]
            for child in graph[node]:
                if child != parent:
                    current_sum += dfs(child, node)
            # If XORing the current subtree increases the sum, perform the operation
            if current_sum &lt; (current_sum ^ (k * len(graph[node]))):
                nums[node] ^= k
                current_sum ^= k * len(graph[node])
            return current_sum
        # Start DFS from node 0 (since it's a tree, we can start from any node)
        return dfs(0, -1)
# Example usage:
solution = Solution()
print(solution.maximumValueSum([1,2,1], 3, [[0,1],[0,2]]))  # Output: 6
print(solution.maximumValueSum([2,3], 7, [[0,1]]))         # Output: 9
print(solution.maximumValueSum([7,7,7,7,7,7], 3, [[0,1],[0,2],[0,3],[0,4],[0,5]]))  # Output: 42</t>
  </si>
  <si>
    <t>from typing import List
class Solution:
    def maximumValueSum(self, nums: List[int], k: int, edges: List[List[int]]) -&gt; int:
        n = len(nums)
        # Create an adjacency list for the tree
        graph = [[] for _ in range(n)]
        for u, v in edges:
            graph[u].append(v)
            graph[v].append(u)
        def dfs(node: int, parent: int) -&gt; int:
            # Calculate the value of the node after XOR operation
            xor_value = nums[node] ^ k
            # If XOR operation increases the value, update the node's value
            if xor_value &gt; nums[node]:
                nums[node] = xor_value
            # Calculate the sum for the subtree rooted at the current node
            subtree_sum = nums[node]
            for child in graph[node]:
                if child != parent:  # Avoid revisiting the parent node
                    subtree_sum += dfs(child, node)
            return subtree_sum
        # Start DFS from node 0 (we can start from any node since it's a tree)
        return dfs(0, -1)
# Example usage:
# sol = Solution()
# print(sol.maximumValueSum([1,2,1], 3, [[0,1],[0,2]]))  # Output: 6
# print(sol.maximumValueSum([2,3], 7, [[0,1]]))         # Output: 9
# print(sol.maximumValueSum([7,7,7,7,7,7], 3, [[0,1],[0,2],[0,3],[0,4],[0,5]]))  # Output: 42</t>
  </si>
  <si>
    <t>from typing import List
class Solution:
    def maximumValueSum(self, nums: List[int], k: int, edges: List[List[int]]) -&gt; int:
        # Initialize the adjacency list for the tree
        n = len(nums)
        tree = [[] for _ in range(n)]
        for u, v in edges:
            tree[u].append(v)
            tree[v].append(u)
        # Initialize the maximum sum as the current sum of all node values
        max_sum = sum(nums)
        # Function to perform DFS and maximize the sum
        def dfs(node: int, parent: int) -&gt; None:
            nonlocal max_sum
            # Iterate over all children of the current node
            for child in tree[node]:
                if child != parent:
                    dfs(child, node)
                    # Check if XORing the child node increases the sum
                    if nums[child] &lt; (nums[child] ^ k):
                        # Update the maximum sum
                        max_sum += (nums[child] ^ k) - nums[child]
                        # Perform the XOR operation
                        nums[child] ^= k
        # Start DFS from node 0
        dfs(0, -1)
        return max_sum
# Example usage:
sol = Solution()
print(sol.maximumValueSum([1,2,1], 3, [[0,1],[0,2]]))  # Output: 6
print(sol.maximumValueSum([2,3], 7, [[0,1]]))          # Output: 9
print(sol.maximumValueSum([7,7,7,7,7,7], 3, [[0,1],[0,2],[0,3],[0,4],[0,5]]))  # Output: 42</t>
  </si>
  <si>
    <t>from typing import List
class Solution:
    def maximumValueSum(self, nums: List[int], k: int, edges: List[List[int]]) -&gt; int:
        n = len(nums)
        graph = [[] for _ in range(n)]
        # Build the graph from the edges
        for u, v in edges:
            graph[u].append(v)
            graph[v].append(u)
        # Recursive function to perform the DFS traversal
        def dfs(node: int, parent: int, parity: int):
            # Calculate the current sum based on the parity
            current_sum = nums[node] if parity == 0 else nums[node] ^ k
            # Perform the DFS on the children
            for child in graph[node]:
                if child != parent:
                    # If the current value XOR k is greater than the current value,
                    # we increment the parity to indicate that we perform the XOR operation
                    if (nums[node] ^ k) &gt; nums[node]:
                        current_sum += dfs(child, node, 1 - parity)
                    else:
                        current_sum += dfs(child, node, parity)
            return current_sum
        # Start DFS from node 0 with even parity (no XOR operation performed yet)
        return dfs(0, -1, 0)
# Example usage
solution = Solution()
print(solution.maximumValueSum([1, 2, 1], 3, [[0, 1], [0, 2]]))  # Output: 6
print(solution.maximumValueSum([2, 3], 7, [[0, 1]]))             # Output: 9
print(solution.maximumValueSum([7, 7, 7, 7, 7, 7], 3, [[0, 1], [0, 2], [0, 3], [0, 4], [0, 5]]))  # Output: 42</t>
  </si>
  <si>
    <t>from typing import List
class Solution:
    def earliestSecondToMarkIndices(self, nums: List[int], changeIndices: List[int]) -&gt; int:
        # Initialize the marked array with False values
        marked = [False] * len(nums)
        # Initialize the earliest second to -1 (impossible case)
        earliest_second = -1
        # Iterate through each second
        for s in range(len(changeIndices)):
            # Get the index to change for this second (1-indexed to 0-indexed)
            index_to_change = changeIndices[s] - 1
            # Set the value at the change index to 0
            nums[index_to_change] = 0
            # Mark any indices that have a value of 0 and are not already marked
            for i in range(len(nums)):
                if nums[i] == 0 and not marked[i]:
                    marked[i] = True
            # Check if all indices are marked
            if all(marked):
                # If all are marked, set the earliest second to the current second + 1
                # Since we are using 0-indexed for the loop, we add 1 for 1-indexed result
                earliest_second = s + 1
                break
        return earliest_second
# Example usage:
solution = Solution()
print(solution.earliestSecondToMarkIndices([3,2,3], [1,3,2,2,2,2,3]))  # Output: 6
print(solution.earliestSecondToMarkIndices([0,0,1,2], [1,2,1,2,1,2,1,2]))  # Output: 7
print(solution.earliestSecondToMarkIndices([1,2,3], [1,2,3]))  # Output: -1</t>
  </si>
  <si>
    <t>from typing import List
class Solution:
    def earliestSecondToMarkIndices(self, nums: List[int], changeIndices: List[int]) -&gt; int:
        # Create a set to track which indices have been set to zero
        set_to_zero = set()
        # Create a set to track which indices have been marked
        marked = set()
        # Iterate over each second
        for s in range(1, len(changeIndices) + 1):
            # Get the index for the current second (adjust for 1-indexing)
            index = changeIndices[s - 1] - 1
            # Set the value at the index to zero
            nums[index] = 0
            # Add the index to the set of indices set to zero
            set_to_zero.add(index)
            # Try to mark indices that have been set to zero and are not already marked
            for i in set_to_zero:
                if nums[i] == 0 and i not in marked:
                    marked.add(i)
            # If all indices are marked, return the current second
            if len(marked) == len(nums):
                return s
        # If not all indices can be marked, return -1
        return -1
# Example usage:
# sol = Solution()
# print(sol.earliestSecondToMarkIndices([3,2,3], [1,3,2,2,2,2,3]))  # Output: 6
# print(sol.earliestSecondToMarkIndices([0,0,1,2], [1,2,1,2,1,2,1,2]))  # Output: 7
# print(sol.earliestSecondToMarkIndices([1,2,3], [1,2,3]))  # Output: -1</t>
  </si>
  <si>
    <t>import heapq
class Solution:
    def earliestSecondToMarkIndices(self, nums: List[int], changeIndices: List[int]) -&gt; int:
        # Create a max heap with negative values because heapq is a min heap by default
        max_heap = [(-nums[i], i + 1) for i in range(len(nums)) if nums[i] &gt; 0]
        heapq.heapify(max_heap)
        marked = set()
        for s in range(1, len(changeIndices) + 1):
            index = changeIndices[s - 1]
            if nums[index - 1] &gt; 0 and index not in marked:
                nums[index - 1] = 0
                marked.add(index)
            elif max_heap:
                # Pop the largest unmarked number
                while max_heap and max_heap[0][1] in marked:
                    heapq.heappop(max_heap)
                if max_heap:
                    _, idx = heapq.heappop(max_heap)
                    marked.add(idx)
            # Check if all indices are marked
            if len(marked) == len(nums):
                return s
        # If not all indices are marked by the end of the process, return -1
        return -1
# Example usage:
# sol = Solution()
# print(sol.earliestSecondToMarkIndices([3,2,3], [1,3,2,2,2,2,3]))  # Output: 6
# print(sol.earliestSecondToMarkIndices([0,0,1,2], [1,2,1,2,1,2,1,2]))  # Output: 7
# print(sol.earliestSecondToMarkIndices([1,2,3], [1,2,3]))  # Output: -1</t>
  </si>
  <si>
    <t>from typing import List
class Solution:
    def earliestSecondToMarkIndices(self, nums: List[int], changeIndices: List[int]) -&gt; int:
        marked = [False] * len(nums)  # Keep track of marked indices
        zeros = set()  # Keep track of indices with value 0
        # Helper function to mark indices with value 0
        def mark_zeros():
            for i in zeros:
                if not marked[i]:
                    marked[i] = True
                    zeros.remove(i)  # Remove from zeros to avoid re-marking
        # Iterate through each second
        for s in range(1, len(changeIndices) + 1):
            index_to_change = changeIndices[s-1] - 1  # Convert to 0-indexed
            # Set nums[index_to_change] to 0 and add to zeros set
            nums[index_to_change] = 0
            zeros.add(index_to_change)
            # Mark indices with value 0
            mark_zeros()
            # Check if all indices are marked
            if all(marked):
                return s
        # If not all indices are marked by the end, return -1
        return -1
# Example usage:
solution = Solution()
print(solution.earliestSecondToMarkIndices([3,2,3], [1,3,2,2,2,2,3]))  # Output: 6
print(solution.earliestSecondToMarkIndices([0,0,1,2], [1,2,1,2,1,2,1,2]))  # Output: 7
print(solution.earliestSecondToMarkIndices([1,2,3], [1,2,3]))  # Output: -1</t>
  </si>
  <si>
    <t>class Solution:
    def earliestSecondToMarkIndices(self, nums: List[int], changeIndices: List[int]) -&gt; int:
        # Initialize variables to track the earliest second and the marked indices
        earliest_second = -1
        marked_indices = [False] * len(nums)
        mark_count = 0  # Number of indices marked so far
        # Iterate through each second
        for s in range(len(changeIndices)):
            index = changeIndices[s] - 1  # Convert to 0-indexed
            # If the current index can be set to 0, do it and mark it if not already marked
            if not marked_indices[index]:
                nums[index] = 0
                marked_indices[index] = True
                mark_count += 1
            # Check if there are any indices that can be marked because they are 0
            for i in range(len(nums)):
                if nums[i] == 0 and not marked_indices[i]:
                    marked_indices[i] = True
                    mark_count += 1
            # If all indices are marked, update the earliest second and break
            if mark_count == len(nums):
                earliest_second = s + 1  # Convert to 1-indexed
                break
        # Return the earliest second if all indices are marked, otherwise return -1
        return earliest_second
# Example usage:
# sol = Solution()
# print(sol.earliestSecondToMarkIndices([3,2,3], [1,3,2,2,2,2,3]))  # Output: 6
# print(sol.earliestSecondToMarkIndices([0,0,1,2], [1,2,1,2,1,2,1,2]))  # Output: 7
# print(sol.earliestSecondToMarkIndices([1,2,3], [1,2,3]))  # Output: -1</t>
  </si>
  <si>
    <t>from typing import List
class Solution:
    def isPrefixAndSuffix(self, str1: str, str2: str) -&gt; bool:
        # Check if str1 is both a prefix and a suffix of str2
        return str2.startswith(str1) and str2.endswith(str1)
    def countPrefixSuffixPairs(self, words: List[str]) -&gt; int:
        count = 0
        # Iterate over each pair of indices (i, j) with i &lt; j
        for i in range(len(words)):
            for j in range(i + 1, len(words)):
                # Increment count if words[i] is both a prefix and a suffix of words[j]
                if self.isPrefixAndSuffix(words[i], words[j]):
                    count += 1
        return count
# Example usage:
# sol = Solution()
# print(sol.countPrefixSuffixPairs(["a","aba","ababa","aa"])) # Output: 4
# print(sol.countPrefixSuffixPairs(["pa","papa","ma","mama"])) # Output: 2
# print(sol.countPrefixSuffixPairs(["abab","ab"])) # Output: 0</t>
  </si>
  <si>
    <t>from typing import List
class Solution:
    def countPrefixSuffixPairs(self, words: List[str]) -&gt; int:
        # Helper function to check if str1 is both a prefix and a suffix of str2
        def isPrefixAndSuffix(str1: str, str2: str) -&gt; bool:
            return str1 == str2[:len(str1)] and str1 == str2[-len(str1):]
        count = 0
        # Iterate over each pair of indices i, j where i &lt; j
        for i in range(len(words)):
            for j in range(i + 1, len(words)):
                if isPrefixAndSuffix(words[i], words[j]):
                    count += 1
        return count
# Example usage:
# sol = Solution()
# print(sol.countPrefixSuffixPairs(["a","aba","ababa","aa"]))  # Output: 4
# print(sol.countPrefixSuffixPairs(["pa","papa","ma","mama"]))  # Output: 2
# print(sol.countPrefixSuffixPairs(["abab","ab"]))  # Output: 0</t>
  </si>
  <si>
    <t>from typing import List
class Solution:
    def isPrefixAndSuffix(self, str1: str, str2: str) -&gt; bool:
        # Check if str1 is both a prefix and a suffix of str2
        return str2.startswith(str1) and str2.endswith(str1)
    def countPrefixSuffixPairs(self, words: List[str]) -&gt; int:
        count = 0
        # Iterate through each pair of words with i &lt; j
        for i in range(len(words)):
            for j in range(i + 1, len(words)):
                # Increment count if condition is satisfied
                if self.isPrefixAndSuffix(words[i], words[j]):
                    count += 1
        return count
# Example usage:
sol = Solution()
print(sol.countPrefixSuffixPairs(["a","aba","ababa","aa"]))  # Output: 4
print(sol.countPrefixSuffixPairs(["pa","papa","ma","mama"]))  # Output: 2
print(sol.countPrefixSuffixPairs(["abab","ab"]))             # Output: 0</t>
  </si>
  <si>
    <t>from typing import List
class Solution:
    def countPrefixSuffixPairs(self, words: List[str]) -&gt; int:
        # Helper function to check if str1 is both a prefix and suffix of str2
        def isPrefixAndSuffix(str1: str, str2: str) -&gt; bool:
            return str2.startswith(str1) and str2.endswith(str1)
        count = 0
        # Iterate over all unique pairs (i, j) where i &lt; j
        for i in range(len(words)):
            for j in range(i + 1, len(words)):
                if isPrefixAndSuffix(words[i], words[j]):
                    count += 1
        return count
# Example usage:
# sol = Solution()
# result = sol.countPrefixSuffixPairs(["a","aba","ababa","aa"])
# print(result)  # Output: 4</t>
  </si>
  <si>
    <t>from typing import List
class Solution:
    def isPrefixAndSuffix(self, str1: str, str2: str) -&gt; bool:
        # Check if str1 is both a prefix and a suffix of str2
        return str2.startswith(str1) and str2.endswith(str1)
    def countPrefixSuffixPairs(self, words: List[str]) -&gt; int:
        count = 0
        # Iterate through all pairs (i, j) where i &lt; j
        for i in range(len(words)):
            for j in range(i + 1, len(words)):
                # Increment count if words[i] is a prefix and suffix of words[j]
                if self.isPrefixAndSuffix(words[i], words[j]):
                    count += 1
        return count
# Example usage:
# sol = Solution()
# print(sol.countPrefixSuffixPairs(["a","aba","ababa","aa"]))  # Output: 4
# print(sol.countPrefixSuffixPairs(["pa","papa","ma","mama"]))  # Output: 2
# print(sol.countPrefixSuffixPairs(["abab","ab"]))  # Output: 0</t>
  </si>
  <si>
    <t>from typing import List
class Solution:
    def maxSelectedElements(self, nums: List[int]) -&gt; int:
        nums.sort()  # Sort the array
        max_length = 1  # Initialize the maximum length to 1
        current_length = 1  # Initialize the current sequence length to 1
        # Iterate through the sorted array, starting from the second element
        for i in range(1, len(nums)):
            # If the current number is equal to the previous number or the previous number plus one,
            # it can be part of the consecutive sequence
            if nums[i] == nums[i - 1] or nums[i] == nums[i - 1] + 1:
                current_length += 1
                max_length = max(max_length, current_length)
            else:
                # If the current number cannot be part of the sequence, reset the current length
                current_length = 1
        return max_length
# Example usage:
sol = Solution()
print(sol.maxSelectedElements([2,1,5,1,1]))  # Output: 3
print(sol.maxSelectedElements([1,4,7,10]))  # Output: 1</t>
  </si>
  <si>
    <t>from typing import List
class Solution:
    def maxSelectedElements(self, nums: List[int]) -&gt; int:
        # Sort the array
        nums.sort()
        # Initialize the maximum length and current sequence length
        max_length = 1
        current_length = 1
        # Iterate over the sorted array
        for i in range(1, len(nums)):
            # Check if the current element can be part of the sequence
            if nums[i] - nums[i - 1] &lt;= 1:
                # Increment the current sequence length
                current_length += 1
            else:
                # Reset the current sequence length
                current_length = 1
            # Update the maximum length
            max_length = max(max_length, current_length)
        return max_length
# Example usage:
solution = Solution()
print(solution.maxSelectedElements([2,1,5,1,1]))  # Output: 3
print(solution.maxSelectedElements([1,4,7,10]))  # Output: 1</t>
  </si>
  <si>
    <t>from typing import List
class Solution:
    def maxSelectedElements(self, nums: List[int]) -&gt; int:
        nums.sort()
        max_consecutive = 1
        window_start = 0
        for window_end in range(len(nums)):
            # While the current window is not valid, move the start forward
            while nums[window_end] - nums[window_start] &gt; window_end - window_start:
                window_start += 1
            # Update the maximum number of consecutive elements
            max_consecutive = max(max_consecutive, window_end - window_start + 1)
        return max_consecutive
# Example usage:
sol = Solution()
print(sol.maxSelectedElements([2,1,5,1,1]))  # Output: 3
print(sol.maxSelectedElements([1,4,7,10]))   # Output: 1</t>
  </si>
  <si>
    <t>from typing import List
class Solution:
    def maxSelectedElements(self, nums: List[int]) -&gt; int:
        nums.sort()  # Sort the array to find consecutive elements easily
        max_length = 1
        current_length = 1
        for i in range(1, len(nums)):
            # If the current element can be consecutive to the previous,
            # by either being equal or just one more than the previous
            if nums[i] == nums[i - 1] or nums[i] == nums[i - 1] + 1:
                current_length += 1
                max_length = max(max_length, current_length)
            else:
                current_length = 1  # Reset the length for a new sequence
        return max_length
# Example usage:
sol = Solution()
print(sol.maxSelectedElements([2, 1, 5, 1, 1]))  # Output: 3
print(sol.maxSelectedElements([1, 4, 7, 10]))    # Output: 1</t>
  </si>
  <si>
    <t>from typing import List
class Solution:
    def maxSelectedElements(self, nums: List[int]) -&gt; int:
        # Step 1: Increase each element by 1
        nums = [x + 1 for x in nums]
        # Step 2: Sort the array
        nums.sort()
        # Step 3: Use a sliding window approach to find the longest subsequence of consecutive numbers
        max_length = 1
        start = 0
        for end in range(1, len(nums)):
            # If the current element is not consecutive with the previous one, move the start of the window
            if nums[end] != nums[end - 1] + 1:
                start = end
            # Calculate the length of the current window and update max_length if needed
            current_length = end - start + 1
            max_length = max(max_length, current_length)
        return max_length
# Example usage:
sol = Solution()
print(sol.maxSelectedElements([2, 1, 5, 1, 1]))  # Output: 3
print(sol.maxSelectedElements([1, 4, 7, 10]))    # Output: 1</t>
  </si>
  <si>
    <t>from typing import List
class Solution:
    def countMatchingSubarrays(self, nums: List[int], pattern: List[int]) -&gt; int:
        def matches_pattern(start: int) -&gt; bool:
            for k in range(len(pattern)):
                if pattern[k] == 1 and not (nums[start + k] &lt; nums[start + k + 1]):
                    return False
                if pattern[k] == 0 and not (nums[start + k] == nums[start + k + 1]):
                    return False
                if pattern[k] == -1 and not (nums[start + k] &gt; nums[start + k + 1]):
                    return False
            return True
        count = 0
        for i in range(len(nums) - len(pattern)):
            if matches_pattern(i):
                count += 1
        return count
# Example usage:
# sol = Solution()
# result = sol.countMatchingSubarrays([1,2,3,4,5,6], [1,1])
# print(result)  # Output: 4</t>
  </si>
  <si>
    <t>from typing import List
class Solution:
    def countMatchingSubarrays(self, nums: List[int], pattern: List[int]) -&gt; int:
        count = 0
        m = len(pattern)
        # Helper function to check if the subarray matches the pattern
        def matches_pattern(i: int) -&gt; bool:
            for k in range(m):
                if pattern[k] == 1 and not (nums[i + k + 1] &gt; nums[i + k]):
                    return False
                if pattern[k] == 0 and not (nums[i + k + 1] == nums[i + k]):
                    return False
                if pattern[k] == -1 and not (nums[i + k + 1] &lt; nums[i + k]):
                    return False
            return True
        # Iterate through the nums array and check each subarray
        for i in range(len(nums) - m):
            if matches_pattern(i):
                count += 1
        return count
# Example usage:
solution = Solution()
print(solution.countMatchingSubarrays([1,2,3,4,5,6], [1,1]))  # Output: 4
print(solution.countMatchingSubarrays([1,4,4,1,3,5,5,3], [1,0,-1]))  # Output: 2</t>
  </si>
  <si>
    <t>from typing import List
class Solution:
    def countMatchingSubarrays(self, nums: List[int], pattern: List[int]) -&gt; int:
        # Initialize the count of matching subarrays to 0
        count = 0
        # Iterate over the nums array, but stop m elements before the end
        # because we are looking for subarrays of size m + 1
        for i in range(len(nums) - len(pattern)):
            # Assume the current subarray matches the pattern
            matches = True
            # Check each element in the pattern
            for k in range(len(pattern)):
                # Compare the current and next element in the subarray according to the pattern
                if (pattern[k] == 1 and not nums[i + k] &lt; nums[i + k + 1]) or \
                   (pattern[k] == 0 and not nums[i + k] == nums[i + k + 1]) or \
                   (pattern[k] == -1 and not nums[i + k] &gt; nums[i + k + 1]):
                    # If any comparison fails, the subarray does not match the pattern
                    matches = False
                    break
            # If all comparisons passed, increment the count
            if matches:
                count += 1
        return count
# Example usage:
# sol = Solution()
# result = sol.countMatchingSubarrays([1,2,3,4,5,6], [1,1])
# print(result)  # Output: 4</t>
  </si>
  <si>
    <t>from typing import List
class Solution:
    def countMatchingSubarrays(self, nums: List[int], pattern: List[int]) -&gt; int:
        count = 0
        m = len(pattern)
        # Iterate through the nums array to check each subarray of size m + 1
        for i in range(len(nums) - m):
            matches = True
            # Check if the subarray nums[i..i+m] matches the pattern
            for k in range(m):
                if (pattern[k] == 1 and not nums[i + k + 1] &gt; nums[i + k]) or \
                   (pattern[k] == 0 and not nums[i + k + 1] == nums[i + k]) or \
                   (pattern[k] == -1 and not nums[i + k + 1] &lt; nums[i + k]):
                    matches = False
                    break
            # If the subarray matches the pattern, increment the count
            if matches:
                count += 1
        return count
# Example usage:
# sol = Solution()
# print(sol.countMatchingSubarrays([1,2,3,4,5,6], [1,1])) # Output: 4
# print(sol.countMatchingSubarrays([1,4,4,1,3,5,5,3], [1,0,-1])) # Output: 2</t>
  </si>
  <si>
    <t>from typing import List
class Solution:
    def countMatchingSubarrays(self, nums: List[int], pattern: List[int]) -&gt; int:
        # Initialize the count of matching subarrays
        count = 0
        # Calculate the length of the subarrays we need to check
        subarray_size = len(pattern) + 1
        # Iterate through the nums array, checking each subarray of the required size
        for i in range(len(nums) - subarray_size + 1):
            # Assume this subarray matches until we find it doesn't
            matches = True
            # Check each element in the pattern
            for k in range(len(pattern)):
                if pattern[k] == 1 and not (nums[i + k + 1] &gt; nums[i + k]):
                    matches = False
                    break
                elif pattern[k] == 0 and not (nums[i + k + 1] == nums[i + k]):
                    matches = False
                    break
                elif pattern[k] == -1 and not (nums[i + k + 1] &lt; nums[i + k]):
                    matches = False
                    break
            # If the subarray matches the pattern, increment the count
            if matches:
                count += 1
        # Return the total count of matching subarrays
        return count
# Example usage:
# sol = Solution()
# print(sol.countMatchingSubarrays([1,2,3,4,5,6], [1,1]))  # Output: 4
# print(sol.countMatchingSubarrays([1,4,4,1,3,5,5,3], [1,0,-1]))  # Output: 2</t>
  </si>
  <si>
    <t>class Solution:
    def minimumTimeToInitialState(self, word: str, k: int) -&gt; int:
        # Helper function to calculate the greatest common divisor.
        def gcd(a, b):
            while b:
                a, b = b, a % b
            return a
        # Calculate the length of the word.
        word_length = len(word)
        # Calculate the greatest common divisor of word length and k.
        greatest_common_divisor = gcd(word_length, k)
        # The minimum time required is the word length divided by the gcd of word length and k.
        return word_length // greatest_common_divisor
# Example usage:
sol = Solution()
print(sol.minimumTimeToInitialState("abacaba", 3))  # Output: 2
print(sol.minimumTimeToInitialState("abacaba", 4))  # Output: 1
print(sol.minimumTimeToInitialState("abcbabcd", 2))  # Output: 4</t>
  </si>
  <si>
    <t>class Solution:
    def minimumTimeToInitialState(self, word: str, k: int) -&gt; int:
        # Helper function to find the greatest common divisor
        def gcd(a, b):
            while b:
                a, b = b, a % b
            return a
        # Helper function to find the least common multiple
        def lcm(a, b):
            return (a * b) // gcd(a, b)
        # Length of the word
        n = len(word)
        # Find the least common multiple of n and k
        cycle_length = lcm(n, k)
        # The minimum time is the LCM divided by k
        return cycle_length // k
# Example usage:
sol = Solution()
print(sol.minimumTimeToInitialState("abacaba", 3))  # Output: 2
print(sol.minimumTimeToInitialState("abacaba", 4))  # Output: 1
print(sol.minimumTimeToInitialState("abcbabcd", 2))  # Output: 4</t>
  </si>
  <si>
    <t>from math import gcd
class Solution:
    def minimumTimeToInitialState(self, word: str, k: int) -&gt; int:
        # Function to calculate the least common multiple (LCM)
        def lcm(x, y):
            return x * y // gcd(x, y)
        # The length of the word
        n = len(word)
        # If k is a divisor of n, then the word will return to its initial state
        # after n // k rotations
        if n % k == 0:
            return n // k
        # Otherwise, find the LCM of n and k, and then divide by k to find the
        # minimum time required for the word to revert to its initial state
        return lcm(n, k) // k</t>
  </si>
  <si>
    <t>class Solution:
    def minimumTimeToInitialState(self, word: str, k: int) -&gt; int:
        # If k is equal to the length of the word, it will revert in one second.
        if k == len(word):
            return 1
        # If k is a divisor of the length of the word, the time to revert will
        # be the length of the word divided by k.
        if len(word) % k == 0:
            return len(word) // k
        # Otherwise, find the greatest common divisor (GCD) of the length of the
        # word and k. The time to revert will be the length of the word divided
        # by the GCD.
        def gcd(a, b):
            while b:
                a, b = b, a % b
            return a
        return len(word) // gcd(len(word), k)
# Example usage:
sol = Solution()
print(sol.minimumTimeToInitialState("abacaba", 3))  # Output: 2
print(sol.minimumTimeToInitialState("abacaba", 4))  # Output: 1
print(sol.minimumTimeToInitialState("abcbabcd", 2))  # Output: 4</t>
  </si>
  <si>
    <t>class Solution:
    def minimumTimeToInitialState(self, word: str, k: int) -&gt; int:
        # Helper function to calculate the greatest common divisor (GCD)
        def gcd(a, b):
            while b:
                a, b = b, a % b
            return a
        # Calculate the length of the word
        word_length = len(word)
        # Find the greatest common divisor of k and the word's length
        word_gcd = gcd(word_length, k)
        # The minimum time is the word's length divided by the GCD
        # This is because the LCM of k and word_length is word_length * k / word_gcd
        # And we need to divide by k to find the number of operations
        return word_length // word_gcd
# Example usage:
sol = Solution()
print(sol.minimumTimeToInitialState("abacaba", 3))  # Output: 2
print(sol.minimumTimeToInitialState("abacaba", 4))  # Output: 1
print(sol.minimumTimeToInitialState("abcbabcd", 2))  # Output: 4</t>
  </si>
  <si>
    <t>class Solution:
    def numberOfPairs(self, points: List[List[int]]) -&gt; int:
        # Initialize the count of valid pairs to 0
        count = 0
        # Iterate through all possible pairs of points
        for i in range(len(points)):
            for j in range(i + 1, len(points)):
                # Get the coordinates of Alice (A) and Bob (B)
                ax, ay = points[i]
                bx, by = points[j]
                # Ensure that A is the upper left and B is the lower right
                if ax &gt; bx or ay &lt; by:
                    continue
                # Check if any other point is inside or on the fence
                valid = True
                for k in range(len(points)):
                    if k == i or k == j:
                        continue
                    px, py = points[k]
                    # If a point is inside or on the fence, the pair is not valid
                    if ax &gt;= px &gt;= bx and ay &gt;= py &gt;= by:
                        valid = False
                        break
                # If the pair is valid, increment the count
                if valid:
                    count += 1
        return count</t>
  </si>
  <si>
    <t>from typing import List
class Solution:
    def numberOfPairs(self, points: List[List[int]]) -&gt; int:
        # Sort the points by x-coordinate, then by y-coordinate
        points.sort(key=lambda p: (p[0], -p[1]))
        # Initialize the count of valid pairs to 0
        valid_pairs = 0
        # Initialize a list to keep track of the count of points with y-coordinates
        # less than the current point's y-coordinate
        y_counts = []
        # Iterate through the sorted points
        for x, y in points:
            # Use binary search to find the index where y would be inserted
            # to keep y_counts sorted
            idx = bisect.bisect_left(y_counts, y)
            # Add the number of points with smaller y-coordinates to the total count
            valid_pairs += idx
            # Insert the current y-coordinate into y_counts at the found index
            bisect.insort(y_counts, y)
        return valid_pairs
# Helper function for binary search and insertion
import bisect</t>
  </si>
  <si>
    <t>from typing import List
class Solution:
    def numberOfPairs(self, points: List[List[int]]) -&gt; int:
        # Initialize variables to store the maximum and minimum x and y coordinates
        min_x = min_y = float('inf')
        max_x = max_y = float('-inf')
        # Create sets to store unique x and y coordinates
        x_coords = set()
        y_coords = set()
        # Iterate over all points to find the maximum and minimum x and y coordinates
        # and populate the sets with unique x and y coordinates
        for x, y in points:
            min_x = min(min_x, x)
            max_x = max(max_x, x)
            min_y = min(min_y, y)
            max_y = max(max_y, y)
            x_coords.add(x)
            y_coords.add(y)
        # Count the number of pairs where Alice and Bob can be placed without making Alice sad
        count = 0
        for x, y in points:
            # Check if the current point can be the upper left corner
            if x == min_x and y == max_y:
                count += 1
            # Check if the current point can be the lower right corner
            if x == max_x and y == min_y:
                count += 1
            # Check if the current point can be both the upper left and lower right corner
            # This happens when the point is the only point on the min_x, max_x, min_y, or max_y lines
            if x == min_x and y == min_y and (min_x not in x_coords or min_y not in y_coords):
                count += 1
            if x == max_x and y == max_y and (max_x not in x_coords or max_y not in y_coords):
                count += 1
        # Return the total number of valid pairs
        return count
# Example usage:
solution = Solution()
print(solution.numberOfPairs([[1,1],[2,2],[3,3]]))  # Output: 0
print(solution.numberOfPairs([[6,2],[4,4],[2,6]]))  # Output: 2
print(solution.numberOfPairs([[3,1],[1,3],[1,1]]))  # Output: 2</t>
  </si>
  <si>
    <t>from typing import List
class Solution:
    def numberOfPairs(self, points: List[List[int]]) -&gt; int:
        left_of = {}
        right_of = {}
        above_of = {}
        below_of = {}
        # Initialize dictionaries with zero counts
        for x, y in points:
            left_of[(x, y)] = right_of[(x, y)] = above_of[(x, y)] = below_of[(x, y)] = 0
        # Count points to the left, right, above, and below each point
        for i, (x1, y1) in enumerate(points):
            for j in range(i + 1, len(points)):
                x2, y2 = points[j]
                if x1 &lt; x2:
                    right_of[(x1, y1)] += 1
                    left_of[(x2, y2)] += 1
                elif x1 &gt; x2:
                    left_of[(x1, y1)] += 1
                    right_of[(x2, y2)] += 1
                if y1 &lt; y2:
                    above_of[(x2, y2)] += 1
                    below_of[(x1, y1)] += 1
                elif y1 &gt; y2:
                    below_of[(x2, y2)] += 1
                    above_of[(x1, y1)] += 1
        # Count valid pairs
        valid_pairs = 0
        for x1, y1 in points:
            for x2, y2 in points:
                if x1 &lt; x2 and y1 &gt; y2:  # A is to the left and above B
                    if right_of[(x1, y1)] == 0 and below_of[(x2, y2)] == 0:
                        valid_pairs += 1
        return valid_pairs
# Example usage:
# sol = Solution()
# print(sol.numberOfPairs([[1,1],[2,2],[3,3]]))  # Output: 0
# print(sol.numberOfPairs([[6,2],[4,4],[2,6]]))  # Output: 2
# print(sol.numberOfPairs([[3,1],[1,3],[1,1]]))  # Output: 2</t>
  </si>
  <si>
    <t>from typing import List
class Solution:
    def numberOfPairs(self, points: List[List[int]]) -&gt; int:
        # Preprocess the points to find the extreme coordinates for each x and y
        max_y_below_x = {}
        min_y_above_x = {}
        max_x_left_of_y = {}
        min_x_right_of_y = {}
        for x, y in points:
            if x not in max_y_below_x or y &gt; max_y_below_x[x]:
                max_y_below_x[x] = y
            if x not in min_y_above_x or y &lt; min_y_above_x[x]:
                min_y_above_x[x] = y
            if y not in max_x_left_of_y or x &gt; max_x_left_of_y[y]:
                max_x_left_of_y[y] = x
            if y not in min_x_right_of_y or x &lt; min_x_right_of_y[y]:
                min_x_right_of_y[y] = x
        # Function to check if any point lies on the boundary or inside the rectangle
        def is_valid_rectangle(Alice, Bob):
            x1, y1 = Alice
            x2, y2 = Bob
            # Check if there is any point with y-coordinate between y1 and y2 for x1 or x2
            if (x1 in max_y_below_x and max_y_below_x[x1] &gt; y2) or (x2 in min_y_above_x and min_y_above_x[x2] &lt; y1):
                return False
            # Check if there is any point with x-coordinate between x1 and x2 for y1 or y2
            if (y1 in min_x_right_of_y and min_x_right_of_y[y1] &lt; x2) or (y2 in max_x_left_of_y and max_x_left_of_y[y2] &gt; x1):
                return False
            return True
        pairs_count = 0
        n = len(points)
        # Iterate through all pairs of points
        for i in range(n):
            for j in range(i + 1, n):
                Alice = points[i]
                Bob = points[j]
                # Ensure Alice is upper left and Bob is lower right
                if Alice[0] &lt; Bob[0] and Alice[1] &gt; Bob[1]:
                    if is_valid_rectangle(Alice, Bob):
                        pairs_count += 1
                elif Bob[0] &lt; Alice[0] and Bob[1] &gt; Alice[1]:
                    if is_valid_rectangle(Bob, Alice):
                        pairs_count += 1
        return pairs_count
# Example usage:
sol = Solution()
print(sol.numberOfPairs([[1,1],[2,2],[3,3]]))  # Output: 0
print(sol.numberOfPairs([[6,2],[4,4],[2,6]]))  # Output: 2
print(sol.numberOfPairs([[3,1],[1,3],[1,1]]))  # Output: 2</t>
  </si>
  <si>
    <t>from typing import List
class Solution:
    def minOrAfterOperations(self, nums: List[int], k: int) -&gt; int:
        # If we have enough operations to AND all adjacent pairs, the result will be the single minimum value.
        if k &gt;= len(nums) - 1:
            return min(nums)
        # Perform bitwise OR on the entire array to get the initial value.
        or_value = 0
        for num in nums:
            or_value |= num
        # Since we can perform at most k operations, we try to minimize the OR value
        # by performing AND operations on pairs that will reduce the OR the most.
        for _ in range(k):
            min_or = or_value
            for i in range(len(nums) - 1):
                # Calculate the OR value if we perform AND on nums[i] and nums[i + 1]
                new_or = or_value - (nums[i] | nums[i + 1]) + (nums[i] &amp; nums[i + 1])
                # Update the minimum OR value and the corresponding pair index
                if new_or &lt; min_or:
                    min_or = new_or
                    min_pair_index = i
            # If no operation can reduce the OR value, break out of the loop
            if min_or == or_value:
                break
            # Otherwise, perform the AND operation on the selected pair
            nums[min_pair_index] &amp;= nums[min_pair_index + 1]
            # Update the OR value with the new minimum OR value
            or_value = min_or
        return or_value
# Example usage:
# sol = Solution()
# result = sol.minOrAfterOperations([3,5,3,2,7], 2)
# print(result)  # Output: 3</t>
  </si>
  <si>
    <t>from typing import List
class Solution:
    def minOrAfterOperations(self, nums: List[int], k: int) -&gt; int:
        # If k is greater than or equal to the length of the array minus one,
        # we can AND all elements together, resulting in a single element,
        # which would be the minimum possible value for the OR operation.
        if k &gt;= len(nums) - 1:
            result = nums[0]
            for num in nums[1:]:
                result &amp;= num
            return result
        # If we cannot AND all elements, we need to find the minimum OR result
        # by applying the operations strategically.
        while k &gt; 0:
            # Find the pair with the minimum AND result.
            min_and = float('inf')
            min_index = -1
            for i in range(len(nums) - 1):
                temp_and = nums[i] &amp; nums[i + 1]
                if temp_and &lt; min_and:
                    min_and = temp_and
                    min_index = i
            # Replace the found pair with the AND result.
            nums[min_index:min_index + 2] = [min_and]
            # Decrease the number of available operations.
            k -= 1
        # After applying k operations, calculate the bitwise OR of the remaining elements.
        result = nums[0]
        for num in nums[1:]:
            result |= num
        return result
# Example usage:
sol = Solution()
print(sol.minOrAfterOperations([3,5,3,2,7], 2))  # Output: 3
print(sol.minOrAfterOperations([7,3,15,14,2,8], 4))  # Output: 2
print(sol.minOrAfterOperations([10,7,10,3,9,14,9,4], 1))  # Output: 15</t>
  </si>
  <si>
    <t>class Solution:
    def minOrAfterOperations(self, nums: List[int], k: int) -&gt; int:
        # If k is greater than or equal to the length of nums minus 1, we can reduce the entire array
        # to a single number by performing AND operations between all adjacent pairs.
        if k &gt;= len(nums) - 1:
            result = nums[0]
            for num in nums[1:]:
                result &amp;= num
            return result
        # If k is less than the length of nums minus 1, we need to be more selective with our operations.
        # We will use a greedy approach, always performing the AND operation on the pair with the highest OR value.
        # This is because ANDing two numbers always results in a number less than or equal to the smaller of the two,
        # and we want to minimize the impact on the overall OR value of the array.
        for _ in range(k):
            max_or = 0
            max_idx = 0
            # Find the pair that results in the highest OR value after the AND operation
            for i in range(len(nums) - 1):
                current_or = nums[i] | nums[i + 1]
                if current_or &gt; max_or:
                    max_or = current_or
                    max_idx = i
            # Perform the AND operation on the selected pair
            nums[max_idx] &amp;= nums[max_idx + 1]
            # Remove the second element of the pair from the list
            nums.pop(max_idx + 1)
        # Calculate the final OR value of the remaining elements
        result = nums[0]
        for num in nums[1:]:
            result |= num
        return result</t>
  </si>
  <si>
    <t>from typing import List
class Solution:
    def minOrAfterOperations(self, nums: List[int], k: int) -&gt; int:
        # Start with the full OR of all elements as the initial answer.
        answer = 0
        for num in nums:
            answer |= num
        # If k is 0, no operations can be performed, return the initial answer.
        if k == 0:
            return answer
        # Iterate through each bit position
        for bit in range(30, -1, -1):
            # Check if the current bit is not set in the answer
            if not (answer &amp; (1 &lt;&lt; bit)):
                # Try to unset bits from the rightmost element by performing AND operations
                for i in range(len(nums) - 1):
                    # If we still have operations left and the current bit is set in both nums[i] and nums[i+1]
                    if k &gt; 0 and (nums[i] &amp; (1 &lt;&lt; bit)) and (nums[i + 1] &amp; (1 &lt;&lt; bit)):
                        # Perform the AND operation
                        nums[i] &amp;= nums[i + 1]
                        # Decrease the number of available operations
                        k -= 1
                        # Update the answer
                        answer |= nums[i]
                        # If the bit is still not set in the answer, break the loop
                        if not (answer &amp; (1 &lt;&lt; bit)):
                            break
                    # Update the answer with the current num
                    answer |= nums[i]
                # After the loop, update the answer with the last element
                answer |= nums[-1]
                # If the bit is set, no further operations can unset it, so break the loop
                if (answer &amp; (1 &lt;&lt; bit)):
                    break
        return answer
# Example usage:
sol = Solution()
print(sol.minOrAfterOperations([3,5,3,2,7], 2))  # Output: 3
print(sol.minOrAfterOperations([7,3,15,14,2,8], 4))  # Output: 2
print(sol.minOrAfterOperations([10,7,10,3,9,14,9,4], 1))  # Output: 15</t>
  </si>
  <si>
    <t>from typing import List
class Solution:
    def minOrAfterOperations(self, nums: List[int], k: int) -&gt; int:
        # If k is greater than or equal to the length of the array minus one,
        # we can reduce the entire array to a single number by applying the AND operation.
        # In this case, the result will be the AND of all elements.
        if k &gt;= len(nums) - 1:
            result = nums[0]
            for num in nums[1:]:
                result &amp;= num
            return result
        # If we cannot reduce the array to a single number, we need to find the minimum
        # possible OR after k operations. Since AND operation only turns bits off, we cannot
        # get a lower OR than the OR of all elements.
        # We can iterate through the array and greedily apply the AND operation where it will
        # have the most impact (i.e., where the numbers have the most differing bits).
        # Calculate the OR of all elements.
        total_or = 0
        for num in nums:
            total_or |= num
        # If k is zero, no operations can be applied, so return the total OR.
        if k == 0:
            return total_or
        # Calculate the impact of each AND operation and store it in a priority queue.
        import heapq
        impact_heap = []
        for i in range(len(nums) - 1):
            impact = nums[i] | nums[i + 1]  # OR before the operation
            after_impact = nums[i] &amp; nums[i + 1]  # OR after the operation
            # The impact is how much the OR is reduced by the operation.
            heapq.heappush(impact_heap, (impact - after_impact, i))
        # Apply k operations, starting with the one that has the highest impact.
        while k &gt; 0 and impact_heap:
            _, idx = heapq.heappop(impact_heap)
            # Apply the AND operation
            nums[idx] &amp;= nums[idx + 1]
            # Update the total OR.
            total_or = nums[0]
            for num in nums[1:]:
                total_or |= num
            k -= 1
        return total_or
# Example usage:
solution = Solution()
print(solution.minOrAfterOperations([3,5,3,2,7], 2))  # Output: 3
print(solution.minOrAfterOperations([7,3,15,14,2,8], 4))  # Output: 2
print(solution.minOrAfterOperations([10,7,10,3,9,14,9,4], 1))  # Output: 15</t>
  </si>
  <si>
    <t>from typing import List
class Solution:
    def countOfPairs(self, n: int, x: int, y: int) -&gt; List[int]:
        if x &gt; y:
            x, y = y, x  # Ensure x is less than or equal to y
        # Initialize the result list with zeros
        result = [0] * n
        # Calculate the shortcut distance
        shortcut_dist = y - x
        # Count pairs for each distance k
        for k in range(1, n):
            # Count pairs within the linear part
            if k &lt; shortcut_dist:
                result[k] = k * (n - k)
            # Count pairs using the shortcut
            else:
                # Pairs before the shortcut
                result[k] += (x - 1) * (n - k)
                # Pairs after the shortcut
                result[k] += (n - y) * (n - k)
                # Pairs across the shortcut
                if k == shortcut_dist:
                    result[k] += (x - 1) * (n - y)
                # Pairs with exactly k distance using the shortcut
                if k &gt; shortcut_dist:
                    result[k] += (k - shortcut_dist) * 2
        return result
# Example usage:
# sol = Solution()
# print(sol.countOfPairs(5, 2, 4))  # Output: [10, 8, 2, 0, 0]</t>
  </si>
  <si>
    <t>from typing import List
class Solution:
    def countOfPairs(self, n: int, x: int, y: int) -&gt; List[int]:
        # Ensure x is less than or equal to y for simplicity
        if x &gt; y:
            x, y = y, x
        # Initialize the result array with zeros
        result = [0] * n
        # Calculate the number of pairs for each distance k
        for k in range(1, n):
            total_pairs = 0
            # Calculate pairs for houses before the additional street
            if k &lt; x:
                total_pairs += k * (n - k)
            # Calculate pairs for houses between x and y (inclusive)
            elif x &lt;= k &lt; y:
                total_pairs += (x - 1) * (n - k)
                total_pairs += (k - (x - 1)) * (n - y + 1)
            # Calculate pairs for houses after the additional street
            elif k &gt;= y:
                total_pairs += (y - 1) * (n - k)
            # Add the calculated number of pairs to the result
            result[k] = total_pairs
        # Calculate the number of pairs for k=1 separately
        result[0] = 2 * (y - x - 1) + (n - 1)
        return result
# Example usage:
# sol = Solution()
# print(sol.countOfPairs(3, 1, 3)) # Output: [6, 0, 0]
# print(sol.countOfPairs(5, 2, 4)) # Output: [10, 8, 2, 0, 0]
# print(sol.countOfPairs(4, 1, 1)) # Output: [6, 4, 2, 0]</t>
  </si>
  <si>
    <t>from typing import List
class Solution:
    def countOfPairs(self, n: int, x: int, y: int) -&gt; List[int]:
        if x &gt; y:
            x, y = y, x  # Ensure x is less than or equal to y
        # Initialize the result list with zeros
        result = [0] * n
        # Calculate the number of pairs for each possible distance k
        for k in range(1, n):
            # Count pairs with distance less than the shortcut
            if k &lt; x:
                result[k] = k * (n - k)
            # Count pairs with distance crossing the shortcut
            elif k &lt; y:
                result[k] = x * (n - y + 1) + (k - x) * (n - k)
            # Count pairs with distance greater than the shortcut
            else:
                result[k] = (x * (n - y + 1)) + (y - x - 1) * (n - k)
        # The number of pairs with distance 1 is always 2 * (n - 1)
        result[0] = 2 * (n - 1)
        return result
# Example usage:
# sol = Solution()
# print(sol.countOfPairs(3, 1, 3))  # Output: [6, 0, 0]
# print(sol.countOfPairs(5, 2, 4))  # Output: [10, 8, 2, 0, 0]
# print(sol.countOfPairs(4, 1, 1))  # Output: [6, 4, 2, 0]</t>
  </si>
  <si>
    <t>from typing import List
class Solution:
    def countOfPairs(self, n: int, x: int, y: int) -&gt; List[int]:
        # Ensure x is less than y for easier calculations
        if x &gt; y:
            x, y = y, x
        # Initialize the result list with zeros
        result = [0] * n
        # Calculate the total number of pairs for each distance k
        for k in range(1, n):
            # Count pairs with distance k without the additional street
            total_pairs = (n - k) * 2
            # Adjust the count for the additional street if it creates a shortcut
            if k &lt; y - x:
                # The additional street is not a shortcut for this distance
                pass
            elif k == y - x:
                # The additional street creates exactly k pairs
                total_pairs += 1
            else:
                # The additional street creates a shortcut, reducing the number of pairs
                total_pairs -= (min(k - (y - x), x - 1) + min(k - (y - x), n - y)) * 2
                total_pairs += min(k, x + n - y) - (y - x)
            # Store the result
            result[k - 1] = total_pairs
        # There are no pairs at distance n
        result[n - 1] = 0
        return result
# Example usage:
# sol = Solution()
# print(sol.countOfPairs(3, 1, 3))  # Output: [6, 0, 0]
# print(sol.countOfPairs(5, 2, 4))  # Output: [10, 8, 2, 0, 0]
# print(sol.countOfPairs(4, 1, 1))  # Output: [6, 4, 2, 0]</t>
  </si>
  <si>
    <t>from typing import List
class Solution:
    def countOfPairs(self, n: int, x: int, y: int) -&gt; List[int]:
        # Ensure x is less than or equal to y for easier calculations
        if x &gt; y:
            x, y = y, x
        # Initialize the result list with zeros
        result = [0] * n
        # Calculate the number of pairs for each distance k
        for k in range(1, n):
            # Start with the total number of pairs at distance k without the extra street
            total_pairs = k * (n - k)
            # Calculate the minimum distance using the extra street
            # There are three cases to consider:
            # 1. Both houses are before the extra street
            # 2. One house is before and the other is after the extra street
            # 3. Both houses are after the extra street
            if k &lt; x:
                # Case 1: No effect of the extra street
                pass
            elif k &lt; y:
                # Case 2: The extra street can be used to reduce the distance
                total_pairs -= (k - (x - 1)) * (y - k)
            else:
                # Case 3: The extra street can be used to reduce the distance
                # We need to consider the number of pairs where one house is before x and the other is after y
                total_pairs -= (x - 1) * (n - y)
                # And also the pairs where both houses are between x and y
                if k &lt; n:
                    total_pairs -= (k - (y - x)) * (n - k)
            # Update the result list
            result[k] = total_pairs
        # The number of pairs at distance 0 is always n (each house with itself)
        result[0] = n
        return result
# Example usage:
sol = Solution()
print(sol.countOfPairs(3, 1, 3))  # Output: [3, 0, 0]
print(sol.countOfPairs(5, 2, 4))  # Output: [5, 8, 2, 0, 0]
print(sol.countOfPairs(4, 1, 1))  # Output: [4, 4, 2, 0]</t>
  </si>
  <si>
    <t>from typing import List
class Solution:
    def minimumCost(self, nums: List[int], k: int, dist: int) -&gt; int:
        n = len(nums)
        # Initialize the dp array where dp[i][j] represents the minimum cost to form j subarrays from the first i elements
        dp = [[float('inf')] * (k + 1) for _ in range(n + 1)]
        # Base case: the cost to form 0 subarrays is 0
        for i in range(n + 1):
            dp[i][0] = 0
        for i in range(1, n + 1):
            for j in range(1, min(k, i) + 1):
                # Consider all valid positions for the start of the last subarray
                for x in range(max(j - 1, i - dist - 1), i):
                    dp[i][j] = min(dp[i][j], dp[x][j - 1] + nums[x])
        # The answer is the minimum cost to form k subarrays from the first n elements
        return dp[n][k]
# Example usage:
solution = Solution()
print(solution.minimumCost([1,3,2,6,4,2], 3, 3))  # Output: 5
print(solution.minimumCost([10,1,2,2,2,1], 4, 3))  # Output: 15
print(solution.minimumCost([10,8,18,9], 3, 1))    # Output: 36</t>
  </si>
  <si>
    <t>from typing import List
class Solution:
    def minimumCost(self, nums: List[int], k: int, dist: int) -&gt; int:
        n = len(nums)
        # Initialize the DP table with infinity
        dp = [[float('inf')] * (k + 1) for _ in range(n)]
        # Base case: The cost of dividing the first i elements into 1 subarray is just nums[0]
        for i in range(n):
            dp[i][1] = nums[0]
        # Fill the DP table
        for i in range(n):
            for j in range(2, k + 1):
                for x in range(max(j - 1, i - dist), i):
                    dp[i][j] = min(dp[i][j], dp[x][j - 1] + nums[i])
        # The answer is the minimum cost to divide the entire array into k subarrays
        return dp[n - 1][k]
# Example usage:
sol = Solution()
print(sol.minimumCost([1,3,2,6,4,2], 3, 3))  # Output: 5
print(sol.minimumCost([10,1,2,2,2,1], 4, 3))  # Output: 15
print(sol.minimumCost([10,8,18,9], 3, 1))    # Output: 36</t>
  </si>
  <si>
    <t>from typing import List
class Solution:
    def minimumCost(self, nums: List[int], k: int, dist: int) -&gt; int:
        n = len(nums)
        # Initialize the dp array with infinity
        dp = [[float('inf')] * (k + 1) for _ in range(n + 1)]
        # Base case: the cost of dividing the array into 1 subarray is the first element
        for i in range(n + 1):
            dp[i][1] = nums[0]
        # Fill the dp array
        for i in range(1, n + 1):
            for j in range(2, k + 1):
                for x in range(max(j - 1, i - dist), i):
                    dp[i][j] = min(dp[i][j], dp[x][j - 1] + nums[x])
        # The answer is the minimum cost of dividing the entire array into k subarrays
        return dp[n][k]
# Example usage:
sol = Solution()
print(sol.minimumCost([1,3,2,6,4,2], 3, 3))  # Output: 5
print(sol.minimumCost([10,1,2,2,2,1], 4, 3))  # Output: 15
print(sol.minimumCost([10,8,18,9], 3, 1))    # Output: 36</t>
  </si>
  <si>
    <t>from typing import List
class Solution:
    def minimumCost(self, nums: List[int], k: int, dist: int) -&gt; int:
        n = len(nums)
        # Initialize the dp table with infinity
        dp = [[float('inf')] * n for _ in range(k+1)]
        # Base case: The cost of having one subarray is just the first element of the subarray
        for j in range(n):
            dp[1][j] = nums[j]
        # Fill the dp table
        for i in range(2, k+1):  # For each number of subarrays from 2 to k
            for j in range(n):  # For each starting index of the subarray
                # We iterate over possible starting points for the last subarray
                for m in range(max(j+1, n-dist), n):
                    dp[i][j] = min(dp[i][j], dp[i-1][m] + nums[j])
        # The answer is the minimum cost of dividing the whole array into k subarrays
        return dp[k][0]
# Example usage:
sol = Solution()
print(sol.minimumCost([1,3,2,6,4,2], 3, 3))  # Output: 5
print(sol.minimumCost([10,1,2,2,2,1], 4, 3))  # Output: 15
print(sol.minimumCost([10,8,18,9], 3, 1))     # Output: 36</t>
  </si>
  <si>
    <t>from typing import List
class Solution:
    def minimumCost(self, nums: List[int], k: int, dist: int) -&gt; int:
        n = len(nums)
        # Initialize dp array with infinity
        dp = [[float('inf')] * (k + 1) for _ in range(n + 1)]
        # Base case: cost of dividing array into 0 subarrays is 0
        for i in range(n + 1):
            dp[i][0] = 0
        # Fill dp array
        for i in range(1, n + 1):
            for j in range(1, min(i, k) + 1):
                # If we're making the first subarray, its cost is just the first element
                if j == 1:
                    dp[i][j] = nums[0]
                else:
                    # Try to make the last subarray start at every possible index
                    for x in range(max(1, i - dist), i):
                        dp[i][j] = min(dp[i][j], dp[x][j - 1] + nums[x])
        # The answer is the minimum cost to divide the entire array into k subarrays
        return dp[n][k]
# Example usage:
solution = Solution()
print(solution.minimumCost([1,3,2,6,4,2], 3, 3))  # Output: 5
print(solution.minimumCost([10,1,2,2,2,1], 4, 3))  # Output: 15
print(solution.minimumCost([10,8,18,9], 3, 1))  # Output: 36</t>
  </si>
  <si>
    <t>from typing import List
class Solution:
    def beautifulIndices(self, s: str, a: str, b: str, k: int) -&gt; List[int]:
        # Find all occurrences of string a
        indices_a = [i for i in range(len(s) - len(a) + 1) if s[i:i + len(a)] == a]
        # Find all occurrences of string b
        indices_b = [i for i in range(len(s) - len(b) + 1) if s[i:i + len(b)] == b]
        # Initialize an empty list to store beautiful indices
        beautiful_indices = []
        # Initialize pointers for indices_a and indices_b lists
        pointer_a = 0
        pointer_b = 0
        # Use two-pointer technique to find beautiful indices
        while pointer_a &lt; len(indices_a) and pointer_b &lt; len(indices_b):
            index_a = indices_a[pointer_a]
            index_b = indices_b[pointer_b]
            # Check if the current index_a is beautiful
            if abs(index_b - index_a) &lt;= k:
                beautiful_indices.append(index_a)
                pointer_a += 1
            elif index_b &lt; index_a:
                pointer_b += 1
            else:
                pointer_a += 1
        return beautiful_indices
# Example usage:
sol = Solution()
print(sol.beautifulIndices("isawsquirrelnearmysquirrelhouseohmy", "my", "squirrel", 15))  # Output: [16, 33]
print(sol.beautifulIndices("abcd", "a", "a", 4))  # Output: [0]</t>
  </si>
  <si>
    <t>from typing import List
class Solution:
    def beautifulIndices(self, s: str, a: str, b: str, k: int) -&gt; List[int]:
        # Find all start indices of substring a in s
        a_indices = [i for i in range(len(s) - len(a) + 1) if s[i:i+len(a)] == a]
        # Find all start indices of substring b in s
        b_indices = [i for i in range(len(s) - len(b) + 1) if s[i:i+len(b)] == b]
        # Initialize pointers for a_indices and b_indices
        a_ptr, b_ptr = 0, 0
        # Initialize the result list
        beautiful_indices = []
        # Iterate over a_indices and b_indices to find beautiful indices
        while a_ptr &lt; len(a_indices) and b_ptr &lt; len(b_indices):
            # If the current index of a is within k distance from the current index of b
            if abs(a_indices[a_ptr] - b_indices[b_ptr]) &lt;= k:
                # Add the index to the result list
                beautiful_indices.append(a_indices[a_ptr])
                a_ptr += 1
            # If the current index of a is too far ahead, move the b pointer closer
            elif a_indices[a_ptr] &gt; b_indices[b_ptr] + k:
                b_ptr += 1
            # If the current index of a is too far behind, move the a pointer closer
            else:
                a_ptr += 1
        return beautiful_indices
# Example usage:
sol = Solution()
print(sol.beautifulIndices("isawsquirrelnearmysquirrelhouseohmy", "my", "squirrel", 15))  # Output: [16, 33]
print(sol.beautifulIndices("abcd", "a", "a", 4))  # Output: [0]</t>
  </si>
  <si>
    <t>from typing import List
class Solution:
    def beautifulIndices(self, s: str, a: str, b: str, k: int) -&gt; List[int]:
        beautiful_indices = []
        # Precompute the indices where 'a' and 'b' occur in 's'
        a_indices = [i for i in range(len(s) - len(a) + 1) if s[i:i+len(a)] == a]
        b_indices = [i for i in range(len(s) - len(b) + 1) if s[i:i+len(b)] == b]
        # Convert b_indices to a set for O(1) lookups
        b_set = set(b_indices)
        # Check each index where 'a' occurs
        for i in a_indices:
            # Check within the range [i - k, i + k] for occurrences of 'b'
            for j in range(max(0, i - k), min(len(s) - len(b) + 1, i + k + 1)):
                if j in b_set:
                    beautiful_indices.append(i)
                    break  # We found a 'b' within range, no need to check further
        return beautiful_indices
# Example usage:
sol = Solution()
print(sol.beautifulIndices("isawsquirrelnearmysquirrelhouseohmy", "my", "squirrel", 15))  # Output: [16, 33]
print(sol.beautifulIndices("abcd", "a", "a", 4))  # Output: [0]</t>
  </si>
  <si>
    <t>from typing import List
class Solution:
    def beautifulIndices(self, s: str, a: str, b: str, k: int) -&gt; List[int]:
        beautiful_indices = []
        a_len = len(a)
        b_len = len(b)
        s_len = len(s)
        # Precompute the indices where substring b occurs
        b_indices = [i for i in range(s_len - b_len + 1) if s[i:i + b_len] == b]
        # Function to check if there exists a valid j for a given i
        def exists_valid_j(i):
            for j in b_indices:
                if abs(i - j) &lt;= k:
                    return True
            return False
        # Check each index i for being beautiful
        for i in range(s_len - a_len + 1):
            if s[i:i + a_len] == a and exists_valid_j(i):
                beautiful_indices.append(i)
        return beautiful_indices
# Example usage:
solution = Solution()
print(solution.beautifulIndices("isawsquirrelnearmysquirrelhouseohmy", "my", "squirrel", 15))  # Output: [16,33]
print(solution.beautifulIndices("abcd", "a", "a", 4))  # Output: [0]</t>
  </si>
  <si>
    <t>from typing import List
class Solution:
    def beautifulIndices(self, s: str, a: str, b: str, k: int) -&gt; List[int]:
        beautiful_indices = []
        a_len = len(a)
        b_len = len(b)
        # Generate list of all starting indices where 'a' is found in 's'
        a_indices = [i for i in range(len(s) - a_len + 1) if s[i:i + a_len] == a]
        # Generate list of all starting indices where 'b' is found in 's'
        b_indices = [i for i in range(len(s) - b_len + 1) if s[i:i + b_len] == b]
        # Check each index of 'a' to find if there is an index of 'b' within distance 'k'
        for i in a_indices:
            # Check if there's any 'b' index within the range [i - k, i + k]
            if any(j for j in b_indices if abs(j - i) &lt;= k):
                beautiful_indices.append(i)
        return beautiful_indices
# Example usage:
# sol = Solution()
# print(sol.beautifulIndices("isawsquirrelnearmysquirrelhouseohmy", "my", "squirrel", 15))
# print(sol.beautifulIndices("abcd", "a", "a", 4))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</si>
</sst>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11.14"/>
    <col customWidth="1" min="4" max="4" width="5.71"/>
    <col customWidth="1" min="5" max="5" width="16.86"/>
    <col customWidth="1" min="6" max="6" width="19.71"/>
    <col customWidth="1" min="7" max="7" width="16.43"/>
    <col customWidth="1" min="8" max="8" width="19.29"/>
    <col customWidth="1" min="9" max="9" width="19.14"/>
    <col customWidth="1" min="10" max="26" width="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tr">
        <f>HYPERLINK("https://leetcode.com/problems/maximum-score-words-formed-by-letters/?envType=daily-question&amp;envId=2024-05-24", "Open Problem")</f>
        <v>Open Problem</v>
      </c>
      <c r="C2" s="2">
        <v>80.4</v>
      </c>
      <c r="D2" s="2" t="s">
        <v>10</v>
      </c>
      <c r="E2" s="2">
        <v>80.38461538461539</v>
      </c>
      <c r="F2" s="2">
        <v>0.153905325443787</v>
      </c>
      <c r="G2" s="2">
        <v>100.0</v>
      </c>
      <c r="H2" s="2">
        <v>100.0</v>
      </c>
      <c r="I2" s="2">
        <v>0.6601859344316829</v>
      </c>
    </row>
    <row r="3">
      <c r="A3" s="2" t="s">
        <v>11</v>
      </c>
      <c r="B3" s="3" t="str">
        <f>HYPERLINK("https://leetcode.com/problems/find-number-of-ways-to-reach-the-k-th-stair", "Open Problem")</f>
        <v>Open Problem</v>
      </c>
      <c r="C3" s="2">
        <v>35.4</v>
      </c>
      <c r="D3" s="2" t="s">
        <v>10</v>
      </c>
      <c r="E3" s="2">
        <v>0.4</v>
      </c>
      <c r="F3" s="2">
        <v>6.666666666666666E-7</v>
      </c>
      <c r="G3" s="2">
        <v>0.5</v>
      </c>
      <c r="H3" s="2">
        <v>0.3333333333333334</v>
      </c>
      <c r="I3" s="2">
        <v>2.859705829013313E-6</v>
      </c>
    </row>
    <row r="4">
      <c r="A4" s="2" t="s">
        <v>12</v>
      </c>
      <c r="B4" s="3" t="str">
        <f>HYPERLINK("https://leetcode.com/problems/find-the-minimum-cost-array-permutation", "Open Problem")</f>
        <v>Open Problem</v>
      </c>
      <c r="C4" s="2">
        <v>22.6</v>
      </c>
      <c r="D4" s="2" t="s">
        <v>10</v>
      </c>
      <c r="E4" s="2">
        <v>77.91267305644303</v>
      </c>
      <c r="F4" s="2">
        <v>0.1263694978343489</v>
      </c>
      <c r="G4" s="2">
        <v>95.74014909478169</v>
      </c>
      <c r="H4" s="2">
        <v>95.63365282215123</v>
      </c>
      <c r="I4" s="2">
        <v>0.5420693843495594</v>
      </c>
    </row>
    <row r="5">
      <c r="A5" s="2" t="s">
        <v>13</v>
      </c>
      <c r="B5" s="3" t="str">
        <f>HYPERLINK("https://leetcode.com/problems/find-products-of-elements-of-big-array", "Open Problem")</f>
        <v>Open Problem</v>
      </c>
      <c r="C5" s="2">
        <v>24.5</v>
      </c>
      <c r="D5" s="2" t="s">
        <v>10</v>
      </c>
      <c r="E5" s="2">
        <v>12.61213720316623</v>
      </c>
      <c r="F5" s="2">
        <v>0.02371509527224121</v>
      </c>
      <c r="G5" s="2">
        <v>32.18997361477572</v>
      </c>
      <c r="H5" s="2">
        <v>0.1319261213720317</v>
      </c>
      <c r="I5" s="2">
        <v>0.1017272942784514</v>
      </c>
    </row>
    <row r="6">
      <c r="A6" s="2" t="s">
        <v>14</v>
      </c>
      <c r="B6" s="3" t="str">
        <f>HYPERLINK("https://leetcode.com/problems/minimum-cost-to-equalize-array", "Open Problem")</f>
        <v>Open Problem</v>
      </c>
      <c r="C6" s="2">
        <v>15.5</v>
      </c>
      <c r="D6" s="2" t="s">
        <v>10</v>
      </c>
      <c r="E6" s="2">
        <v>39.49685534591195</v>
      </c>
      <c r="F6" s="2">
        <v>0.06801194572999486</v>
      </c>
      <c r="G6" s="2">
        <v>70.28301886792453</v>
      </c>
      <c r="H6" s="2">
        <v>25.31446540880503</v>
      </c>
      <c r="I6" s="2">
        <v>0.2917412364699051</v>
      </c>
    </row>
    <row r="7">
      <c r="A7" s="2" t="s">
        <v>15</v>
      </c>
      <c r="B7" s="3" t="str">
        <f>HYPERLINK("https://leetcode.com/problems/find-the-median-of-the-uniqueness-array", "Open Problem")</f>
        <v>Open Problem</v>
      </c>
      <c r="C7" s="2">
        <v>28.0</v>
      </c>
      <c r="D7" s="2" t="s">
        <v>10</v>
      </c>
      <c r="E7" s="2">
        <v>68.96464646464646</v>
      </c>
      <c r="F7" s="2">
        <v>0.1407511988572595</v>
      </c>
      <c r="G7" s="2">
        <v>100.0</v>
      </c>
      <c r="H7" s="2">
        <v>97.22222222222221</v>
      </c>
      <c r="I7" s="2">
        <v>0.6037605357190753</v>
      </c>
    </row>
    <row r="8">
      <c r="A8" s="2" t="s">
        <v>16</v>
      </c>
      <c r="B8" s="3" t="str">
        <f>HYPERLINK("https://leetcode.com/problems/find-all-possible-stable-binary-arrays-ii", "Open Problem")</f>
        <v>Open Problem</v>
      </c>
      <c r="C8" s="2">
        <v>28.2</v>
      </c>
      <c r="D8" s="2" t="s">
        <v>10</v>
      </c>
      <c r="E8" s="2">
        <v>10.75601374570447</v>
      </c>
      <c r="F8" s="2">
        <v>0.04268797014678618</v>
      </c>
      <c r="G8" s="2">
        <v>52.0618556701031</v>
      </c>
      <c r="H8" s="2">
        <v>0.1718213058419244</v>
      </c>
      <c r="I8" s="2">
        <v>0.1831125555862661</v>
      </c>
    </row>
    <row r="9">
      <c r="A9" s="2" t="s">
        <v>17</v>
      </c>
      <c r="B9" s="3" t="str">
        <f>HYPERLINK("https://leetcode.com/problems/find-edges-in-shortest-paths", "Open Problem")</f>
        <v>Open Problem</v>
      </c>
      <c r="C9" s="2">
        <v>51.3</v>
      </c>
      <c r="D9" s="2" t="s">
        <v>10</v>
      </c>
      <c r="E9" s="2">
        <v>79.8507462686567</v>
      </c>
      <c r="F9" s="2">
        <v>0.1463619402985074</v>
      </c>
      <c r="G9" s="2">
        <v>100.0</v>
      </c>
      <c r="H9" s="2">
        <v>97.94776119402985</v>
      </c>
      <c r="I9" s="2">
        <v>0.6278281407260103</v>
      </c>
    </row>
    <row r="10">
      <c r="A10" s="2" t="s">
        <v>18</v>
      </c>
      <c r="B10" s="3" t="str">
        <f>HYPERLINK("https://leetcode.com/problems/minimum-sum-of-values-by-dividing-array", "Open Problem")</f>
        <v>Open Problem</v>
      </c>
      <c r="C10" s="2">
        <v>27.7</v>
      </c>
      <c r="D10" s="2" t="s">
        <v>10</v>
      </c>
      <c r="E10" s="2">
        <v>69.62818003913894</v>
      </c>
      <c r="F10" s="2">
        <v>0.1178953818344752</v>
      </c>
      <c r="G10" s="2">
        <v>97.65166340508806</v>
      </c>
      <c r="H10" s="2">
        <v>97.65166340508806</v>
      </c>
      <c r="I10" s="2">
        <v>0.5057191659686985</v>
      </c>
    </row>
    <row r="11">
      <c r="A11" s="2" t="s">
        <v>19</v>
      </c>
      <c r="B11" s="3" t="str">
        <f>HYPERLINK("https://leetcode.com/problems/kth-smallest-amount-with-single-denomination-combination", "Open Problem")</f>
        <v>Open Problem</v>
      </c>
      <c r="C11" s="2">
        <v>15.6</v>
      </c>
      <c r="D11" s="2" t="s">
        <v>10</v>
      </c>
      <c r="E11" s="2">
        <v>50.37433155080213</v>
      </c>
      <c r="F11" s="2">
        <v>3.253675477645289E-5</v>
      </c>
      <c r="G11" s="2">
        <v>51.51515151515152</v>
      </c>
      <c r="H11" s="2">
        <v>50.08912655971479</v>
      </c>
      <c r="I11" s="2">
        <v>1.395683209370986E-4</v>
      </c>
    </row>
    <row r="12">
      <c r="A12" s="2" t="s">
        <v>20</v>
      </c>
      <c r="B12" s="3" t="str">
        <f>HYPERLINK("https://leetcode.com/problems/find-the-number-of-subarrays-where-boundary-elements-are-maximum", "Open Problem")</f>
        <v>Open Problem</v>
      </c>
      <c r="C12" s="2">
        <v>29.2</v>
      </c>
      <c r="D12" s="2" t="s">
        <v>10</v>
      </c>
      <c r="E12" s="2">
        <v>59.41507311586052</v>
      </c>
      <c r="F12" s="2">
        <v>0.2331242115545455</v>
      </c>
      <c r="G12" s="2">
        <v>98.87514060742407</v>
      </c>
      <c r="H12" s="2">
        <v>98.76265466816648</v>
      </c>
      <c r="I12" s="2">
        <v>1.0</v>
      </c>
    </row>
    <row r="13">
      <c r="A13" s="2" t="s">
        <v>21</v>
      </c>
      <c r="B13" s="3" t="str">
        <f>HYPERLINK("https://leetcode.com/problems/minimum-cost-walk-in-weighted-graph", "Open Problem")</f>
        <v>Open Problem</v>
      </c>
      <c r="C13" s="2">
        <v>46.1</v>
      </c>
      <c r="D13" s="2" t="s">
        <v>10</v>
      </c>
      <c r="E13" s="2">
        <v>58.10218978102191</v>
      </c>
      <c r="F13" s="2">
        <v>0.08899994672065639</v>
      </c>
      <c r="G13" s="2">
        <v>85.76642335766424</v>
      </c>
      <c r="H13" s="2">
        <v>68.24817518248175</v>
      </c>
      <c r="I13" s="2">
        <v>0.3817704996284031</v>
      </c>
    </row>
    <row r="14">
      <c r="A14" s="2" t="s">
        <v>22</v>
      </c>
      <c r="B14" s="3" t="str">
        <f>HYPERLINK("https://leetcode.com/problems/minimize-manhattan-distances", "Open Problem")</f>
        <v>Open Problem</v>
      </c>
      <c r="C14" s="2">
        <v>32.0</v>
      </c>
      <c r="D14" s="2" t="s">
        <v>10</v>
      </c>
      <c r="E14" s="2">
        <v>28.67783985102421</v>
      </c>
      <c r="F14" s="2">
        <v>0.1036505310903738</v>
      </c>
      <c r="G14" s="2">
        <v>91.62011173184358</v>
      </c>
      <c r="H14" s="2">
        <v>17.50465549348231</v>
      </c>
      <c r="I14" s="2">
        <v>0.4446150419092013</v>
      </c>
    </row>
    <row r="15">
      <c r="A15" s="2" t="s">
        <v>23</v>
      </c>
      <c r="B15" s="3" t="str">
        <f>HYPERLINK("https://leetcode.com/problems/find-the-sum-of-subsequence-powers", "Open Problem")</f>
        <v>Open Problem</v>
      </c>
      <c r="C15" s="2">
        <v>24.5</v>
      </c>
      <c r="D15" s="2" t="s">
        <v>10</v>
      </c>
      <c r="E15" s="2">
        <v>13.00546448087432</v>
      </c>
      <c r="F15" s="2">
        <v>0.006661689908129037</v>
      </c>
      <c r="G15" s="2">
        <v>22.58652094717669</v>
      </c>
      <c r="H15" s="2">
        <v>8.743169398907105</v>
      </c>
      <c r="I15" s="2">
        <v>0.02857571019203366</v>
      </c>
    </row>
    <row r="16">
      <c r="A16" s="2" t="s">
        <v>24</v>
      </c>
      <c r="B16" s="3" t="str">
        <f>HYPERLINK("https://leetcode.com/problems/longest-common-suffix-queries", "Open Problem")</f>
        <v>Open Problem</v>
      </c>
      <c r="C16" s="2">
        <v>41.6</v>
      </c>
      <c r="D16" s="2" t="s">
        <v>10</v>
      </c>
      <c r="E16" s="2">
        <v>98.89705882352942</v>
      </c>
      <c r="F16" s="2">
        <v>0.0</v>
      </c>
      <c r="G16" s="2">
        <v>98.89705882352942</v>
      </c>
      <c r="H16" s="2">
        <v>98.89705882352942</v>
      </c>
      <c r="I16" s="2">
        <v>0.0</v>
      </c>
    </row>
    <row r="17">
      <c r="A17" s="2" t="s">
        <v>25</v>
      </c>
      <c r="B17" s="3" t="str">
        <f>HYPERLINK("https://leetcode.com/problems/minimum-moves-to-pick-k-ones", "Open Problem")</f>
        <v>Open Problem</v>
      </c>
      <c r="C17" s="2">
        <v>23.7</v>
      </c>
      <c r="D17" s="2" t="s">
        <v>10</v>
      </c>
      <c r="E17" s="2">
        <v>3.006060606060606</v>
      </c>
      <c r="F17" s="2">
        <v>0.003614560146923783</v>
      </c>
      <c r="G17" s="2">
        <v>15.03030303030303</v>
      </c>
      <c r="H17" s="2">
        <v>0.0</v>
      </c>
      <c r="I17" s="2">
        <v>0.01550486808221574</v>
      </c>
    </row>
    <row r="18">
      <c r="A18" s="2" t="s">
        <v>26</v>
      </c>
      <c r="B18" s="3" t="str">
        <f>HYPERLINK("https://leetcode.com/problems/find-the-sum-of-the-power-of-all-subsequences", "Open Problem")</f>
        <v>Open Problem</v>
      </c>
      <c r="C18" s="2">
        <v>38.7</v>
      </c>
      <c r="D18" s="2" t="s">
        <v>10</v>
      </c>
      <c r="E18" s="2">
        <v>16.32582322357019</v>
      </c>
      <c r="F18" s="2">
        <v>3.465003048698074E-4</v>
      </c>
      <c r="G18" s="2">
        <v>19.93067590987868</v>
      </c>
      <c r="H18" s="2">
        <v>15.94454072790294</v>
      </c>
      <c r="I18" s="2">
        <v>0.001486333412386618</v>
      </c>
    </row>
    <row r="19">
      <c r="A19" s="2" t="s">
        <v>27</v>
      </c>
      <c r="B19" s="3" t="str">
        <f>HYPERLINK("https://leetcode.com/problems/maximum-strength-of-k-disjoint-subarrays", "Open Problem")</f>
        <v>Open Problem</v>
      </c>
      <c r="C19" s="2">
        <v>27.8</v>
      </c>
      <c r="D19" s="2" t="s">
        <v>10</v>
      </c>
      <c r="E19" s="2">
        <v>12.11970074812968</v>
      </c>
      <c r="F19" s="2">
        <v>0.04438865429941356</v>
      </c>
      <c r="G19" s="2">
        <v>53.99002493765585</v>
      </c>
      <c r="H19" s="2">
        <v>0.2493765586034913</v>
      </c>
      <c r="I19" s="2">
        <v>0.1904077401631347</v>
      </c>
    </row>
    <row r="20">
      <c r="A20" s="2" t="s">
        <v>28</v>
      </c>
      <c r="B20" s="3" t="str">
        <f>HYPERLINK("https://leetcode.com/problems/distribute-elements-into-two-arrays-ii", "Open Problem")</f>
        <v>Open Problem</v>
      </c>
      <c r="C20" s="2">
        <v>26.6</v>
      </c>
      <c r="D20" s="2" t="s">
        <v>10</v>
      </c>
      <c r="E20" s="2">
        <v>98.62244897959182</v>
      </c>
      <c r="F20" s="2">
        <v>6.59881299458562E-5</v>
      </c>
      <c r="G20" s="2">
        <v>99.48979591836735</v>
      </c>
      <c r="H20" s="2">
        <v>99.10714285714286</v>
      </c>
      <c r="I20" s="2">
        <v>2.830599597777794E-4</v>
      </c>
    </row>
    <row r="21" ht="15.75" customHeight="1">
      <c r="A21" s="2" t="s">
        <v>29</v>
      </c>
      <c r="B21" s="3" t="str">
        <f>HYPERLINK("https://leetcode.com/problems/find-the-maximum-sum-of-node-values", "Open Problem")</f>
        <v>Open Problem</v>
      </c>
      <c r="C21" s="2">
        <v>67.5</v>
      </c>
      <c r="D21" s="2" t="s">
        <v>10</v>
      </c>
      <c r="E21" s="2">
        <v>28.89818688981869</v>
      </c>
      <c r="F21" s="2">
        <v>0.04360443425165682</v>
      </c>
      <c r="G21" s="2">
        <v>51.04602510460251</v>
      </c>
      <c r="H21" s="2">
        <v>33.19386331938633</v>
      </c>
      <c r="I21" s="2">
        <v>0.1870437822004362</v>
      </c>
    </row>
    <row r="22" ht="15.75" customHeight="1">
      <c r="A22" s="2" t="s">
        <v>30</v>
      </c>
      <c r="B22" s="3" t="str">
        <f>HYPERLINK("https://leetcode.com/problems/earliest-second-to-mark-indices-ii", "Open Problem")</f>
        <v>Open Problem</v>
      </c>
      <c r="C22" s="2">
        <v>22.1</v>
      </c>
      <c r="D22" s="2" t="s">
        <v>10</v>
      </c>
      <c r="E22" s="2">
        <v>22.66666666666666</v>
      </c>
      <c r="F22" s="2">
        <v>0.0143277201076509</v>
      </c>
      <c r="G22" s="2">
        <v>31.96078431372549</v>
      </c>
      <c r="H22" s="2">
        <v>30.19607843137255</v>
      </c>
      <c r="I22" s="2">
        <v>0.0614595970624808</v>
      </c>
    </row>
    <row r="23" ht="15.75" customHeight="1">
      <c r="A23" s="2" t="s">
        <v>31</v>
      </c>
      <c r="B23" s="3" t="str">
        <f>HYPERLINK("https://leetcode.com/problems/count-prefix-and-suffix-pairs-ii", "Open Problem")</f>
        <v>Open Problem</v>
      </c>
      <c r="C23" s="2">
        <v>23.7</v>
      </c>
      <c r="D23" s="2" t="s">
        <v>10</v>
      </c>
      <c r="E23" s="2">
        <v>99.16107382550334</v>
      </c>
      <c r="F23" s="2">
        <v>1.232595164407831E-32</v>
      </c>
      <c r="G23" s="2">
        <v>99.16107382550335</v>
      </c>
      <c r="H23" s="2">
        <v>99.16107382550335</v>
      </c>
      <c r="I23" s="2">
        <v>5.287289364706046E-32</v>
      </c>
    </row>
    <row r="24" ht="15.75" customHeight="1">
      <c r="A24" s="2" t="s">
        <v>32</v>
      </c>
      <c r="B24" s="3" t="str">
        <f>HYPERLINK("https://leetcode.com/problems/maximize-consecutive-elements-in-an-array-after-modification", "Open Problem")</f>
        <v>Open Problem</v>
      </c>
      <c r="C24" s="2">
        <v>31.3</v>
      </c>
      <c r="D24" s="2" t="s">
        <v>10</v>
      </c>
      <c r="E24" s="2">
        <v>25.0</v>
      </c>
      <c r="F24" s="2">
        <v>0.005231453261142387</v>
      </c>
      <c r="G24" s="2">
        <v>37.27544910179641</v>
      </c>
      <c r="H24" s="2">
        <v>24.40119760479042</v>
      </c>
      <c r="I24" s="2">
        <v>0.02244062607764939</v>
      </c>
    </row>
    <row r="25" ht="15.75" customHeight="1">
      <c r="A25" s="2" t="s">
        <v>33</v>
      </c>
      <c r="B25" s="3" t="str">
        <f>HYPERLINK("https://leetcode.com/problems/number-of-subarrays-that-match-a-pattern-ii", "Open Problem")</f>
        <v>Open Problem</v>
      </c>
      <c r="C25" s="2">
        <v>32.0</v>
      </c>
      <c r="D25" s="2" t="s">
        <v>10</v>
      </c>
      <c r="E25" s="2">
        <v>97.85353535353535</v>
      </c>
      <c r="F25" s="2">
        <v>0.0</v>
      </c>
      <c r="G25" s="2">
        <v>97.85353535353535</v>
      </c>
      <c r="H25" s="2">
        <v>97.85353535353535</v>
      </c>
      <c r="I25" s="2">
        <v>0.0</v>
      </c>
    </row>
    <row r="26" ht="15.75" customHeight="1">
      <c r="A26" s="2" t="s">
        <v>34</v>
      </c>
      <c r="B26" s="3" t="str">
        <f>HYPERLINK("https://leetcode.com/problems/minimum-time-to-revert-word-to-initial-state-ii", "Open Problem")</f>
        <v>Open Problem</v>
      </c>
      <c r="C26" s="2">
        <v>35.5</v>
      </c>
      <c r="D26" s="2" t="s">
        <v>10</v>
      </c>
      <c r="E26" s="2">
        <v>14.5993413830955</v>
      </c>
      <c r="F26" s="2">
        <v>0.0</v>
      </c>
      <c r="G26" s="2">
        <v>14.5993413830955</v>
      </c>
      <c r="H26" s="2">
        <v>14.5993413830955</v>
      </c>
      <c r="I26" s="2">
        <v>0.0</v>
      </c>
    </row>
    <row r="27" ht="15.75" customHeight="1">
      <c r="A27" s="2" t="s">
        <v>35</v>
      </c>
      <c r="B27" s="3" t="str">
        <f>HYPERLINK("https://leetcode.com/problems/find-the-number-of-ways-to-place-people-ii", "Open Problem")</f>
        <v>Open Problem</v>
      </c>
      <c r="C27" s="2">
        <v>48.1</v>
      </c>
      <c r="D27" s="2" t="s">
        <v>10</v>
      </c>
      <c r="E27" s="2">
        <v>4.436363636363637</v>
      </c>
      <c r="F27" s="2">
        <v>0.001672198347107438</v>
      </c>
      <c r="G27" s="2">
        <v>12.54545454545454</v>
      </c>
      <c r="H27" s="2">
        <v>2.909090909090909</v>
      </c>
      <c r="I27" s="2">
        <v>0.007172993040734352</v>
      </c>
    </row>
    <row r="28" ht="15.75" customHeight="1">
      <c r="A28" s="2" t="s">
        <v>36</v>
      </c>
      <c r="B28" s="3" t="str">
        <f>HYPERLINK("https://leetcode.com/problems/minimize-or-of-remaining-elements-using-operations", "Open Problem")</f>
        <v>Open Problem</v>
      </c>
      <c r="C28" s="2">
        <v>33.5</v>
      </c>
      <c r="D28" s="2" t="s">
        <v>10</v>
      </c>
      <c r="E28" s="2">
        <v>46.25304136253042</v>
      </c>
      <c r="F28" s="2">
        <v>0.03749883081440437</v>
      </c>
      <c r="G28" s="2">
        <v>73.2360097323601</v>
      </c>
      <c r="H28" s="2">
        <v>52.91970802919707</v>
      </c>
      <c r="I28" s="2">
        <v>0.1608534375917043</v>
      </c>
    </row>
    <row r="29" ht="15.75" customHeight="1">
      <c r="A29" s="2" t="s">
        <v>37</v>
      </c>
      <c r="B29" s="3" t="str">
        <f>HYPERLINK("https://leetcode.com/problems/count-the-number-of-houses-at-a-certain-distance-ii", "Open Problem")</f>
        <v>Open Problem</v>
      </c>
      <c r="C29" s="2">
        <v>21.0</v>
      </c>
      <c r="D29" s="2" t="s">
        <v>10</v>
      </c>
      <c r="E29" s="2">
        <v>0.1092896174863388</v>
      </c>
      <c r="F29" s="2">
        <v>4.7776881961241E-6</v>
      </c>
      <c r="G29" s="2">
        <v>0.546448087431694</v>
      </c>
      <c r="H29" s="2">
        <v>0.0</v>
      </c>
      <c r="I29" s="2">
        <v>2.049417417549629E-5</v>
      </c>
    </row>
    <row r="30" ht="15.75" customHeight="1">
      <c r="A30" s="2" t="s">
        <v>38</v>
      </c>
      <c r="B30" s="3" t="str">
        <f>HYPERLINK("https://leetcode.com/problems/divide-an-array-into-subarrays-with-minimum-cost-ii", "Open Problem")</f>
        <v>Open Problem</v>
      </c>
      <c r="C30" s="2">
        <v>31.5</v>
      </c>
      <c r="D30" s="2" t="s">
        <v>10</v>
      </c>
      <c r="E30" s="2">
        <v>18.08972503617945</v>
      </c>
      <c r="F30" s="2">
        <v>0.02199375472531891</v>
      </c>
      <c r="G30" s="2">
        <v>32.41678726483357</v>
      </c>
      <c r="H30" s="2">
        <v>25.1808972503618</v>
      </c>
      <c r="I30" s="2">
        <v>0.09434350288482539</v>
      </c>
    </row>
    <row r="31" ht="15.75" customHeight="1">
      <c r="A31" s="2" t="s">
        <v>39</v>
      </c>
      <c r="B31" s="3" t="str">
        <f>HYPERLINK("https://leetcode.com/problems/find-beautiful-indices-in-the-given-array-ii", "Open Problem")</f>
        <v>Open Problem</v>
      </c>
      <c r="C31" s="2">
        <v>23.9</v>
      </c>
      <c r="D31" s="2" t="s">
        <v>10</v>
      </c>
      <c r="E31" s="2">
        <v>95.9493670886076</v>
      </c>
      <c r="F31" s="2">
        <v>4.814043333511367E-4</v>
      </c>
      <c r="G31" s="2">
        <v>97.0464135021097</v>
      </c>
      <c r="H31" s="2">
        <v>97.0464135021097</v>
      </c>
      <c r="I31" s="2">
        <v>0.002065012167294771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43"/>
    <col customWidth="1" min="5" max="5" width="14.57"/>
    <col customWidth="1" min="6" max="6" width="15.43"/>
    <col customWidth="1" min="7" max="26" width="8.71"/>
  </cols>
  <sheetData>
    <row r="1" ht="15.0" customHeight="1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ht="15.0" customHeight="1">
      <c r="A2" s="2" t="s">
        <v>9</v>
      </c>
      <c r="B2" s="2" t="s">
        <v>45</v>
      </c>
      <c r="C2" s="2" t="s">
        <v>46</v>
      </c>
      <c r="D2" s="2">
        <v>1.0</v>
      </c>
      <c r="E2" s="2">
        <v>1.0</v>
      </c>
      <c r="F2" s="2">
        <v>1.0</v>
      </c>
    </row>
    <row r="3" ht="15.0" customHeight="1">
      <c r="A3" s="2" t="s">
        <v>9</v>
      </c>
      <c r="B3" s="2" t="s">
        <v>47</v>
      </c>
      <c r="C3" s="2" t="s">
        <v>48</v>
      </c>
      <c r="D3" s="2">
        <v>1.0</v>
      </c>
      <c r="E3" s="2">
        <v>52.0</v>
      </c>
      <c r="F3" s="2">
        <v>0.01923076923076923</v>
      </c>
    </row>
    <row r="4" ht="15.0" customHeight="1">
      <c r="A4" s="2" t="s">
        <v>9</v>
      </c>
      <c r="B4" s="2" t="s">
        <v>49</v>
      </c>
      <c r="C4" s="2" t="s">
        <v>50</v>
      </c>
      <c r="D4" s="2">
        <v>1.0</v>
      </c>
      <c r="E4" s="2">
        <v>1.0</v>
      </c>
      <c r="F4" s="2">
        <v>1.0</v>
      </c>
    </row>
    <row r="5" ht="15.0" customHeight="1">
      <c r="A5" s="2" t="s">
        <v>9</v>
      </c>
      <c r="B5" s="2" t="s">
        <v>51</v>
      </c>
      <c r="C5" s="2" t="s">
        <v>52</v>
      </c>
      <c r="D5" s="2">
        <v>1.0</v>
      </c>
      <c r="E5" s="2">
        <v>1.0</v>
      </c>
      <c r="F5" s="2">
        <v>1.0</v>
      </c>
    </row>
    <row r="6" ht="15.0" customHeight="1">
      <c r="A6" s="2" t="s">
        <v>9</v>
      </c>
      <c r="B6" s="2" t="s">
        <v>53</v>
      </c>
      <c r="C6" s="2" t="s">
        <v>54</v>
      </c>
      <c r="D6" s="2">
        <v>1.0</v>
      </c>
      <c r="E6" s="2">
        <v>1.0</v>
      </c>
      <c r="F6" s="2">
        <v>1.0</v>
      </c>
    </row>
    <row r="7" ht="15.0" customHeight="1">
      <c r="A7" s="2" t="s">
        <v>11</v>
      </c>
      <c r="B7" s="2" t="s">
        <v>45</v>
      </c>
      <c r="C7" s="2" t="s">
        <v>55</v>
      </c>
      <c r="D7" s="2">
        <v>3.0</v>
      </c>
      <c r="E7" s="2">
        <v>600.0</v>
      </c>
      <c r="F7" s="2">
        <v>0.005</v>
      </c>
    </row>
    <row r="8" ht="15.0" customHeight="1">
      <c r="A8" s="2" t="s">
        <v>11</v>
      </c>
      <c r="B8" s="2" t="s">
        <v>47</v>
      </c>
      <c r="C8" s="2" t="s">
        <v>56</v>
      </c>
      <c r="D8" s="2">
        <v>2.0</v>
      </c>
      <c r="E8" s="2">
        <v>600.0</v>
      </c>
      <c r="F8" s="2">
        <v>0.003333333333333334</v>
      </c>
    </row>
    <row r="9" ht="15.0" customHeight="1">
      <c r="A9" s="2" t="s">
        <v>11</v>
      </c>
      <c r="B9" s="2" t="s">
        <v>49</v>
      </c>
      <c r="C9" s="2" t="s">
        <v>57</v>
      </c>
      <c r="D9" s="2">
        <v>2.0</v>
      </c>
      <c r="E9" s="2">
        <v>600.0</v>
      </c>
      <c r="F9" s="2">
        <v>0.003333333333333334</v>
      </c>
    </row>
    <row r="10" ht="15.0" customHeight="1">
      <c r="A10" s="2" t="s">
        <v>11</v>
      </c>
      <c r="B10" s="2" t="s">
        <v>51</v>
      </c>
      <c r="C10" s="2" t="s">
        <v>58</v>
      </c>
      <c r="D10" s="2">
        <v>3.0</v>
      </c>
      <c r="E10" s="2">
        <v>600.0</v>
      </c>
      <c r="F10" s="2">
        <v>0.005</v>
      </c>
    </row>
    <row r="11" ht="15.0" customHeight="1">
      <c r="A11" s="2" t="s">
        <v>11</v>
      </c>
      <c r="B11" s="2" t="s">
        <v>53</v>
      </c>
      <c r="C11" s="2" t="s">
        <v>59</v>
      </c>
      <c r="D11" s="2">
        <v>2.0</v>
      </c>
      <c r="E11" s="2">
        <v>600.0</v>
      </c>
      <c r="F11" s="2">
        <v>0.003333333333333334</v>
      </c>
    </row>
    <row r="12" ht="15.0" customHeight="1">
      <c r="A12" s="2" t="s">
        <v>12</v>
      </c>
      <c r="B12" s="2" t="s">
        <v>45</v>
      </c>
      <c r="C12" s="2" t="s">
        <v>60</v>
      </c>
      <c r="D12" s="2">
        <v>899.0</v>
      </c>
      <c r="E12" s="2">
        <v>939.0</v>
      </c>
      <c r="F12" s="2">
        <v>0.9574014909478168</v>
      </c>
    </row>
    <row r="13" ht="15.0" customHeight="1">
      <c r="A13" s="2" t="s">
        <v>12</v>
      </c>
      <c r="B13" s="2" t="s">
        <v>47</v>
      </c>
      <c r="C13" s="2" t="s">
        <v>61</v>
      </c>
      <c r="D13" s="2">
        <v>899.0</v>
      </c>
      <c r="E13" s="2">
        <v>939.0</v>
      </c>
      <c r="F13" s="2">
        <v>0.9574014909478168</v>
      </c>
    </row>
    <row r="14" ht="15.0" customHeight="1">
      <c r="A14" s="2" t="s">
        <v>12</v>
      </c>
      <c r="B14" s="2" t="s">
        <v>49</v>
      </c>
      <c r="C14" s="2" t="s">
        <v>62</v>
      </c>
      <c r="D14" s="2">
        <v>898.0</v>
      </c>
      <c r="E14" s="2">
        <v>939.0</v>
      </c>
      <c r="F14" s="2">
        <v>0.9563365282215123</v>
      </c>
    </row>
    <row r="15" ht="15.0" customHeight="1">
      <c r="A15" s="2" t="s">
        <v>12</v>
      </c>
      <c r="B15" s="2" t="s">
        <v>51</v>
      </c>
      <c r="C15" s="2" t="s">
        <v>63</v>
      </c>
      <c r="D15" s="2">
        <v>898.0</v>
      </c>
      <c r="E15" s="2">
        <v>939.0</v>
      </c>
      <c r="F15" s="2">
        <v>0.9563365282215123</v>
      </c>
    </row>
    <row r="16" ht="15.0" customHeight="1">
      <c r="A16" s="2" t="s">
        <v>12</v>
      </c>
      <c r="B16" s="2" t="s">
        <v>53</v>
      </c>
      <c r="C16" s="2" t="s">
        <v>64</v>
      </c>
      <c r="D16" s="2">
        <v>64.0</v>
      </c>
      <c r="E16" s="2">
        <v>939.0</v>
      </c>
      <c r="F16" s="2">
        <v>0.06815761448349308</v>
      </c>
    </row>
    <row r="17" ht="15.0" customHeight="1">
      <c r="A17" s="2" t="s">
        <v>13</v>
      </c>
      <c r="B17" s="2" t="s">
        <v>45</v>
      </c>
      <c r="C17" s="2" t="s">
        <v>65</v>
      </c>
      <c r="D17" s="2">
        <v>1.0</v>
      </c>
      <c r="E17" s="2">
        <v>758.0</v>
      </c>
      <c r="F17" s="2">
        <v>0.001319261213720317</v>
      </c>
    </row>
    <row r="18" ht="15.0" customHeight="1">
      <c r="A18" s="2" t="s">
        <v>13</v>
      </c>
      <c r="B18" s="2" t="s">
        <v>47</v>
      </c>
      <c r="C18" s="2" t="s">
        <v>66</v>
      </c>
      <c r="D18" s="2">
        <v>0.0</v>
      </c>
      <c r="E18" s="2">
        <v>758.0</v>
      </c>
      <c r="F18" s="2">
        <v>0.0</v>
      </c>
    </row>
    <row r="19" ht="15.0" customHeight="1">
      <c r="A19" s="2" t="s">
        <v>13</v>
      </c>
      <c r="B19" s="2" t="s">
        <v>49</v>
      </c>
      <c r="C19" s="2" t="s">
        <v>67</v>
      </c>
      <c r="D19" s="2">
        <v>0.0</v>
      </c>
      <c r="E19" s="2">
        <v>758.0</v>
      </c>
      <c r="F19" s="2">
        <v>0.0</v>
      </c>
    </row>
    <row r="20" ht="15.0" customHeight="1">
      <c r="A20" s="2" t="s">
        <v>13</v>
      </c>
      <c r="B20" s="2" t="s">
        <v>51</v>
      </c>
      <c r="C20" s="2" t="s">
        <v>68</v>
      </c>
      <c r="D20" s="2">
        <v>244.0</v>
      </c>
      <c r="E20" s="2">
        <v>758.0</v>
      </c>
      <c r="F20" s="2">
        <v>0.3218997361477572</v>
      </c>
    </row>
    <row r="21" ht="15.0" customHeight="1">
      <c r="A21" s="2" t="s">
        <v>13</v>
      </c>
      <c r="B21" s="2" t="s">
        <v>53</v>
      </c>
      <c r="C21" s="2" t="s">
        <v>69</v>
      </c>
      <c r="D21" s="2">
        <v>233.0</v>
      </c>
      <c r="E21" s="2">
        <v>758.0</v>
      </c>
      <c r="F21" s="2">
        <v>0.3073878627968338</v>
      </c>
    </row>
    <row r="22" ht="15.0" customHeight="1">
      <c r="A22" s="2" t="s">
        <v>14</v>
      </c>
      <c r="B22" s="2" t="s">
        <v>45</v>
      </c>
      <c r="C22" s="2" t="s">
        <v>70</v>
      </c>
      <c r="D22" s="2">
        <v>40.0</v>
      </c>
      <c r="E22" s="2">
        <v>636.0</v>
      </c>
      <c r="F22" s="2">
        <v>0.06289308176100629</v>
      </c>
    </row>
    <row r="23" ht="15.0" customHeight="1">
      <c r="A23" s="2" t="s">
        <v>14</v>
      </c>
      <c r="B23" s="2" t="s">
        <v>47</v>
      </c>
      <c r="C23" s="2" t="s">
        <v>71</v>
      </c>
      <c r="D23" s="2">
        <v>161.0</v>
      </c>
      <c r="E23" s="2">
        <v>636.0</v>
      </c>
      <c r="F23" s="2">
        <v>0.2531446540880503</v>
      </c>
    </row>
    <row r="24" ht="15.0" customHeight="1">
      <c r="A24" s="2" t="s">
        <v>14</v>
      </c>
      <c r="B24" s="2" t="s">
        <v>49</v>
      </c>
      <c r="C24" s="2" t="s">
        <v>72</v>
      </c>
      <c r="D24" s="2">
        <v>447.0</v>
      </c>
      <c r="E24" s="2">
        <v>636.0</v>
      </c>
      <c r="F24" s="2">
        <v>0.7028301886792453</v>
      </c>
    </row>
    <row r="25" ht="15.0" customHeight="1">
      <c r="A25" s="2" t="s">
        <v>14</v>
      </c>
      <c r="B25" s="2" t="s">
        <v>51</v>
      </c>
      <c r="C25" s="2" t="s">
        <v>73</v>
      </c>
      <c r="D25" s="2">
        <v>161.0</v>
      </c>
      <c r="E25" s="2">
        <v>636.0</v>
      </c>
      <c r="F25" s="2">
        <v>0.2531446540880503</v>
      </c>
    </row>
    <row r="26" ht="15.0" customHeight="1">
      <c r="A26" s="2" t="s">
        <v>14</v>
      </c>
      <c r="B26" s="2" t="s">
        <v>53</v>
      </c>
      <c r="C26" s="2" t="s">
        <v>74</v>
      </c>
      <c r="D26" s="2">
        <v>447.0</v>
      </c>
      <c r="E26" s="2">
        <v>636.0</v>
      </c>
      <c r="F26" s="2">
        <v>0.7028301886792453</v>
      </c>
    </row>
    <row r="27" ht="15.0" customHeight="1">
      <c r="A27" s="2" t="s">
        <v>15</v>
      </c>
      <c r="B27" s="2" t="s">
        <v>45</v>
      </c>
      <c r="C27" s="2" t="s">
        <v>75</v>
      </c>
      <c r="D27" s="2">
        <v>274.0</v>
      </c>
      <c r="E27" s="2">
        <v>792.0</v>
      </c>
      <c r="F27" s="2">
        <v>0.345959595959596</v>
      </c>
    </row>
    <row r="28" ht="15.0" customHeight="1">
      <c r="A28" s="2" t="s">
        <v>15</v>
      </c>
      <c r="B28" s="2" t="s">
        <v>47</v>
      </c>
      <c r="C28" s="2" t="s">
        <v>76</v>
      </c>
      <c r="D28" s="2">
        <v>1.0</v>
      </c>
      <c r="E28" s="2">
        <v>1.0</v>
      </c>
      <c r="F28" s="2">
        <v>1.0</v>
      </c>
    </row>
    <row r="29" ht="15.0" customHeight="1">
      <c r="A29" s="2" t="s">
        <v>15</v>
      </c>
      <c r="B29" s="2" t="s">
        <v>49</v>
      </c>
      <c r="C29" s="2" t="s">
        <v>77</v>
      </c>
      <c r="D29" s="2">
        <v>770.0</v>
      </c>
      <c r="E29" s="2">
        <v>792.0</v>
      </c>
      <c r="F29" s="2">
        <v>0.9722222222222222</v>
      </c>
    </row>
    <row r="30" ht="15.0" customHeight="1">
      <c r="A30" s="2" t="s">
        <v>15</v>
      </c>
      <c r="B30" s="2" t="s">
        <v>51</v>
      </c>
      <c r="C30" s="2" t="s">
        <v>78</v>
      </c>
      <c r="D30" s="2">
        <v>1.0</v>
      </c>
      <c r="E30" s="2">
        <v>1.0</v>
      </c>
      <c r="F30" s="2">
        <v>1.0</v>
      </c>
    </row>
    <row r="31" ht="15.0" customHeight="1">
      <c r="A31" s="2" t="s">
        <v>15</v>
      </c>
      <c r="B31" s="2" t="s">
        <v>53</v>
      </c>
      <c r="C31" s="2" t="s">
        <v>79</v>
      </c>
      <c r="D31" s="2">
        <v>103.0</v>
      </c>
      <c r="E31" s="2">
        <v>792.0</v>
      </c>
      <c r="F31" s="2">
        <v>0.1300505050505051</v>
      </c>
    </row>
    <row r="32" ht="15.0" customHeight="1">
      <c r="A32" s="2" t="s">
        <v>16</v>
      </c>
      <c r="B32" s="2" t="s">
        <v>45</v>
      </c>
      <c r="C32" s="2" t="s">
        <v>80</v>
      </c>
      <c r="D32" s="2">
        <v>0.0</v>
      </c>
      <c r="E32" s="2">
        <v>582.0</v>
      </c>
      <c r="F32" s="2">
        <v>0.0</v>
      </c>
    </row>
    <row r="33" ht="15.0" customHeight="1">
      <c r="A33" s="2" t="s">
        <v>16</v>
      </c>
      <c r="B33" s="2" t="s">
        <v>47</v>
      </c>
      <c r="C33" s="2" t="s">
        <v>81</v>
      </c>
      <c r="D33" s="2">
        <v>1.0</v>
      </c>
      <c r="E33" s="2">
        <v>582.0</v>
      </c>
      <c r="F33" s="2">
        <v>0.001718213058419244</v>
      </c>
    </row>
    <row r="34" ht="15.0" customHeight="1">
      <c r="A34" s="2" t="s">
        <v>16</v>
      </c>
      <c r="B34" s="2" t="s">
        <v>49</v>
      </c>
      <c r="C34" s="2" t="s">
        <v>82</v>
      </c>
      <c r="D34" s="2">
        <v>0.0</v>
      </c>
      <c r="E34" s="2">
        <v>582.0</v>
      </c>
      <c r="F34" s="2">
        <v>0.0</v>
      </c>
    </row>
    <row r="35" ht="15.0" customHeight="1">
      <c r="A35" s="2" t="s">
        <v>16</v>
      </c>
      <c r="B35" s="2" t="s">
        <v>51</v>
      </c>
      <c r="C35" s="2" t="s">
        <v>83</v>
      </c>
      <c r="D35" s="2">
        <v>303.0</v>
      </c>
      <c r="E35" s="2">
        <v>582.0</v>
      </c>
      <c r="F35" s="2">
        <v>0.520618556701031</v>
      </c>
    </row>
    <row r="36" ht="15.0" customHeight="1">
      <c r="A36" s="2" t="s">
        <v>16</v>
      </c>
      <c r="B36" s="2" t="s">
        <v>53</v>
      </c>
      <c r="C36" s="2" t="s">
        <v>84</v>
      </c>
      <c r="D36" s="2">
        <v>9.0</v>
      </c>
      <c r="E36" s="2">
        <v>582.0</v>
      </c>
      <c r="F36" s="2">
        <v>0.0154639175257732</v>
      </c>
    </row>
    <row r="37" ht="15.0" customHeight="1">
      <c r="A37" s="2" t="s">
        <v>17</v>
      </c>
      <c r="B37" s="2" t="s">
        <v>45</v>
      </c>
      <c r="C37" s="2" t="s">
        <v>85</v>
      </c>
      <c r="D37" s="2">
        <v>18.0</v>
      </c>
      <c r="E37" s="2">
        <v>536.0</v>
      </c>
      <c r="F37" s="2">
        <v>0.03358208955223881</v>
      </c>
    </row>
    <row r="38" ht="15.0" customHeight="1">
      <c r="A38" s="2" t="s">
        <v>17</v>
      </c>
      <c r="B38" s="2" t="s">
        <v>47</v>
      </c>
      <c r="C38" s="2" t="s">
        <v>86</v>
      </c>
      <c r="D38" s="2">
        <v>525.0</v>
      </c>
      <c r="E38" s="2">
        <v>536.0</v>
      </c>
      <c r="F38" s="2">
        <v>0.9794776119402985</v>
      </c>
    </row>
    <row r="39" ht="15.0" customHeight="1">
      <c r="A39" s="2" t="s">
        <v>17</v>
      </c>
      <c r="B39" s="2" t="s">
        <v>49</v>
      </c>
      <c r="C39" s="2" t="s">
        <v>87</v>
      </c>
      <c r="D39" s="2">
        <v>1.0</v>
      </c>
      <c r="E39" s="2">
        <v>1.0</v>
      </c>
      <c r="F39" s="2">
        <v>1.0</v>
      </c>
    </row>
    <row r="40" ht="15.0" customHeight="1">
      <c r="A40" s="2" t="s">
        <v>17</v>
      </c>
      <c r="B40" s="2" t="s">
        <v>51</v>
      </c>
      <c r="C40" s="2" t="s">
        <v>88</v>
      </c>
      <c r="D40" s="2">
        <v>1.0</v>
      </c>
      <c r="E40" s="2">
        <v>1.0</v>
      </c>
      <c r="F40" s="2">
        <v>1.0</v>
      </c>
    </row>
    <row r="41" ht="15.0" customHeight="1">
      <c r="A41" s="2" t="s">
        <v>17</v>
      </c>
      <c r="B41" s="2" t="s">
        <v>53</v>
      </c>
      <c r="C41" s="2" t="s">
        <v>89</v>
      </c>
      <c r="D41" s="2">
        <v>525.0</v>
      </c>
      <c r="E41" s="2">
        <v>536.0</v>
      </c>
      <c r="F41" s="2">
        <v>0.9794776119402985</v>
      </c>
    </row>
    <row r="42" ht="15.0" customHeight="1">
      <c r="A42" s="2" t="s">
        <v>18</v>
      </c>
      <c r="B42" s="2" t="s">
        <v>45</v>
      </c>
      <c r="C42" s="2" t="s">
        <v>90</v>
      </c>
      <c r="D42" s="2">
        <v>149.0</v>
      </c>
      <c r="E42" s="2">
        <v>511.0</v>
      </c>
      <c r="F42" s="2">
        <v>0.2915851272015655</v>
      </c>
    </row>
    <row r="43" ht="15.0" customHeight="1">
      <c r="A43" s="2" t="s">
        <v>18</v>
      </c>
      <c r="B43" s="2" t="s">
        <v>47</v>
      </c>
      <c r="C43" s="2" t="s">
        <v>91</v>
      </c>
      <c r="D43" s="2">
        <v>133.0</v>
      </c>
      <c r="E43" s="2">
        <v>511.0</v>
      </c>
      <c r="F43" s="2">
        <v>0.2602739726027397</v>
      </c>
    </row>
    <row r="44" ht="15.0" customHeight="1">
      <c r="A44" s="2" t="s">
        <v>18</v>
      </c>
      <c r="B44" s="2" t="s">
        <v>49</v>
      </c>
      <c r="C44" s="2" t="s">
        <v>92</v>
      </c>
      <c r="D44" s="2">
        <v>499.0</v>
      </c>
      <c r="E44" s="2">
        <v>511.0</v>
      </c>
      <c r="F44" s="2">
        <v>0.9765166340508806</v>
      </c>
    </row>
    <row r="45" ht="15.0" customHeight="1">
      <c r="A45" s="2" t="s">
        <v>18</v>
      </c>
      <c r="B45" s="2" t="s">
        <v>51</v>
      </c>
      <c r="C45" s="2" t="s">
        <v>93</v>
      </c>
      <c r="D45" s="2">
        <v>499.0</v>
      </c>
      <c r="E45" s="2">
        <v>511.0</v>
      </c>
      <c r="F45" s="2">
        <v>0.9765166340508806</v>
      </c>
    </row>
    <row r="46" ht="15.0" customHeight="1">
      <c r="A46" s="2" t="s">
        <v>18</v>
      </c>
      <c r="B46" s="2" t="s">
        <v>53</v>
      </c>
      <c r="C46" s="2" t="s">
        <v>94</v>
      </c>
      <c r="D46" s="2">
        <v>499.0</v>
      </c>
      <c r="E46" s="2">
        <v>511.0</v>
      </c>
      <c r="F46" s="2">
        <v>0.9765166340508806</v>
      </c>
    </row>
    <row r="47" ht="15.0" customHeight="1">
      <c r="A47" s="2" t="s">
        <v>19</v>
      </c>
      <c r="B47" s="2" t="s">
        <v>45</v>
      </c>
      <c r="C47" s="2" t="s">
        <v>95</v>
      </c>
      <c r="D47" s="2">
        <v>281.0</v>
      </c>
      <c r="E47" s="2">
        <v>561.0</v>
      </c>
      <c r="F47" s="2">
        <v>0.5008912655971479</v>
      </c>
    </row>
    <row r="48" ht="15.0" customHeight="1">
      <c r="A48" s="2" t="s">
        <v>19</v>
      </c>
      <c r="B48" s="2" t="s">
        <v>47</v>
      </c>
      <c r="C48" s="2" t="s">
        <v>96</v>
      </c>
      <c r="D48" s="2">
        <v>289.0</v>
      </c>
      <c r="E48" s="2">
        <v>561.0</v>
      </c>
      <c r="F48" s="2">
        <v>0.5151515151515151</v>
      </c>
    </row>
    <row r="49" ht="15.0" customHeight="1">
      <c r="A49" s="2" t="s">
        <v>19</v>
      </c>
      <c r="B49" s="2" t="s">
        <v>49</v>
      </c>
      <c r="C49" s="2" t="s">
        <v>97</v>
      </c>
      <c r="D49" s="2">
        <v>281.0</v>
      </c>
      <c r="E49" s="2">
        <v>561.0</v>
      </c>
      <c r="F49" s="2">
        <v>0.5008912655971479</v>
      </c>
    </row>
    <row r="50" ht="15.0" customHeight="1">
      <c r="A50" s="2" t="s">
        <v>19</v>
      </c>
      <c r="B50" s="2" t="s">
        <v>51</v>
      </c>
      <c r="C50" s="2" t="s">
        <v>98</v>
      </c>
      <c r="D50" s="2">
        <v>281.0</v>
      </c>
      <c r="E50" s="2">
        <v>561.0</v>
      </c>
      <c r="F50" s="2">
        <v>0.5008912655971479</v>
      </c>
    </row>
    <row r="51" ht="15.0" customHeight="1">
      <c r="A51" s="2" t="s">
        <v>19</v>
      </c>
      <c r="B51" s="2" t="s">
        <v>53</v>
      </c>
      <c r="C51" s="2" t="s">
        <v>99</v>
      </c>
      <c r="D51" s="2">
        <v>281.0</v>
      </c>
      <c r="E51" s="2">
        <v>561.0</v>
      </c>
      <c r="F51" s="2">
        <v>0.5008912655971479</v>
      </c>
    </row>
    <row r="52" ht="15.0" customHeight="1">
      <c r="A52" s="2" t="s">
        <v>20</v>
      </c>
      <c r="B52" s="2" t="s">
        <v>45</v>
      </c>
      <c r="C52" s="2" t="s">
        <v>100</v>
      </c>
      <c r="D52" s="2">
        <v>879.0</v>
      </c>
      <c r="E52" s="2">
        <v>889.0</v>
      </c>
      <c r="F52" s="2">
        <v>0.9887514060742407</v>
      </c>
    </row>
    <row r="53" ht="15.0" customHeight="1">
      <c r="A53" s="2" t="s">
        <v>20</v>
      </c>
      <c r="B53" s="2" t="s">
        <v>47</v>
      </c>
      <c r="C53" s="2" t="s">
        <v>101</v>
      </c>
      <c r="D53" s="2">
        <v>878.0</v>
      </c>
      <c r="E53" s="2">
        <v>889.0</v>
      </c>
      <c r="F53" s="2">
        <v>0.9876265466816648</v>
      </c>
    </row>
    <row r="54" ht="15.0" customHeight="1">
      <c r="A54" s="2" t="s">
        <v>20</v>
      </c>
      <c r="B54" s="2" t="s">
        <v>49</v>
      </c>
      <c r="C54" s="2" t="s">
        <v>102</v>
      </c>
      <c r="D54" s="2">
        <v>879.0</v>
      </c>
      <c r="E54" s="2">
        <v>889.0</v>
      </c>
      <c r="F54" s="2">
        <v>0.9887514060742407</v>
      </c>
    </row>
    <row r="55" ht="15.0" customHeight="1">
      <c r="A55" s="2" t="s">
        <v>20</v>
      </c>
      <c r="B55" s="2" t="s">
        <v>51</v>
      </c>
      <c r="C55" s="2" t="s">
        <v>103</v>
      </c>
      <c r="D55" s="2">
        <v>5.0</v>
      </c>
      <c r="E55" s="2">
        <v>889.0</v>
      </c>
      <c r="F55" s="2">
        <v>0.00562429696287964</v>
      </c>
    </row>
    <row r="56" ht="15.0" customHeight="1">
      <c r="A56" s="2" t="s">
        <v>20</v>
      </c>
      <c r="B56" s="2" t="s">
        <v>53</v>
      </c>
      <c r="C56" s="2" t="s">
        <v>104</v>
      </c>
      <c r="D56" s="2">
        <v>0.0</v>
      </c>
      <c r="E56" s="2">
        <v>889.0</v>
      </c>
      <c r="F56" s="2">
        <v>0.0</v>
      </c>
    </row>
    <row r="57" ht="15.0" customHeight="1">
      <c r="A57" s="2" t="s">
        <v>21</v>
      </c>
      <c r="B57" s="2" t="s">
        <v>45</v>
      </c>
      <c r="C57" s="2" t="s">
        <v>105</v>
      </c>
      <c r="D57" s="2">
        <v>374.0</v>
      </c>
      <c r="E57" s="2">
        <v>548.0</v>
      </c>
      <c r="F57" s="2">
        <v>0.6824817518248175</v>
      </c>
    </row>
    <row r="58" ht="15.0" customHeight="1">
      <c r="A58" s="2" t="s">
        <v>21</v>
      </c>
      <c r="B58" s="2" t="s">
        <v>47</v>
      </c>
      <c r="C58" s="2" t="s">
        <v>106</v>
      </c>
      <c r="D58" s="2">
        <v>470.0</v>
      </c>
      <c r="E58" s="2">
        <v>548.0</v>
      </c>
      <c r="F58" s="2">
        <v>0.8576642335766423</v>
      </c>
    </row>
    <row r="59" ht="15.0" customHeight="1">
      <c r="A59" s="2" t="s">
        <v>21</v>
      </c>
      <c r="B59" s="2" t="s">
        <v>49</v>
      </c>
      <c r="C59" s="2" t="s">
        <v>107</v>
      </c>
      <c r="D59" s="2">
        <v>0.0</v>
      </c>
      <c r="E59" s="2">
        <v>548.0</v>
      </c>
      <c r="F59" s="2">
        <v>0.0</v>
      </c>
    </row>
    <row r="60" ht="15.0" customHeight="1">
      <c r="A60" s="2" t="s">
        <v>21</v>
      </c>
      <c r="B60" s="2" t="s">
        <v>51</v>
      </c>
      <c r="C60" s="2" t="s">
        <v>108</v>
      </c>
      <c r="D60" s="2">
        <v>374.0</v>
      </c>
      <c r="E60" s="2">
        <v>548.0</v>
      </c>
      <c r="F60" s="2">
        <v>0.6824817518248175</v>
      </c>
    </row>
    <row r="61" ht="15.0" customHeight="1">
      <c r="A61" s="2" t="s">
        <v>21</v>
      </c>
      <c r="B61" s="2" t="s">
        <v>53</v>
      </c>
      <c r="C61" s="2" t="s">
        <v>109</v>
      </c>
      <c r="D61" s="2">
        <v>374.0</v>
      </c>
      <c r="E61" s="2">
        <v>548.0</v>
      </c>
      <c r="F61" s="2">
        <v>0.6824817518248175</v>
      </c>
    </row>
    <row r="62" ht="15.0" customHeight="1">
      <c r="A62" s="2" t="s">
        <v>22</v>
      </c>
      <c r="B62" s="2" t="s">
        <v>45</v>
      </c>
      <c r="C62" s="2" t="s">
        <v>110</v>
      </c>
      <c r="D62" s="2">
        <v>492.0</v>
      </c>
      <c r="E62" s="2">
        <v>537.0</v>
      </c>
      <c r="F62" s="2">
        <v>0.9162011173184358</v>
      </c>
    </row>
    <row r="63" ht="15.0" customHeight="1">
      <c r="A63" s="2" t="s">
        <v>22</v>
      </c>
      <c r="B63" s="2" t="s">
        <v>47</v>
      </c>
      <c r="C63" s="2" t="s">
        <v>111</v>
      </c>
      <c r="D63" s="2">
        <v>102.0</v>
      </c>
      <c r="E63" s="2">
        <v>537.0</v>
      </c>
      <c r="F63" s="2">
        <v>0.1899441340782123</v>
      </c>
    </row>
    <row r="64" ht="15.0" customHeight="1">
      <c r="A64" s="2" t="s">
        <v>22</v>
      </c>
      <c r="B64" s="2" t="s">
        <v>49</v>
      </c>
      <c r="C64" s="2" t="s">
        <v>112</v>
      </c>
      <c r="D64" s="2">
        <v>94.0</v>
      </c>
      <c r="E64" s="2">
        <v>537.0</v>
      </c>
      <c r="F64" s="2">
        <v>0.1750465549348231</v>
      </c>
    </row>
    <row r="65" ht="15.0" customHeight="1">
      <c r="A65" s="2" t="s">
        <v>22</v>
      </c>
      <c r="B65" s="2" t="s">
        <v>51</v>
      </c>
      <c r="C65" s="2" t="s">
        <v>113</v>
      </c>
      <c r="D65" s="2">
        <v>82.0</v>
      </c>
      <c r="E65" s="2">
        <v>537.0</v>
      </c>
      <c r="F65" s="2">
        <v>0.1527001862197393</v>
      </c>
    </row>
    <row r="66" ht="15.0" customHeight="1">
      <c r="A66" s="2" t="s">
        <v>22</v>
      </c>
      <c r="B66" s="2" t="s">
        <v>53</v>
      </c>
      <c r="C66" s="2" t="s">
        <v>114</v>
      </c>
      <c r="D66" s="2">
        <v>0.0</v>
      </c>
      <c r="E66" s="2">
        <v>537.0</v>
      </c>
      <c r="F66" s="2">
        <v>0.0</v>
      </c>
    </row>
    <row r="67" ht="15.0" customHeight="1">
      <c r="A67" s="2" t="s">
        <v>23</v>
      </c>
      <c r="B67" s="2" t="s">
        <v>45</v>
      </c>
      <c r="C67" s="2" t="s">
        <v>115</v>
      </c>
      <c r="D67" s="2">
        <v>124.0</v>
      </c>
      <c r="E67" s="2">
        <v>549.0</v>
      </c>
      <c r="F67" s="2">
        <v>0.2258652094717669</v>
      </c>
    </row>
    <row r="68" ht="15.0" customHeight="1">
      <c r="A68" s="2" t="s">
        <v>23</v>
      </c>
      <c r="B68" s="2" t="s">
        <v>47</v>
      </c>
      <c r="C68" s="2" t="s">
        <v>116</v>
      </c>
      <c r="D68" s="2">
        <v>13.0</v>
      </c>
      <c r="E68" s="2">
        <v>549.0</v>
      </c>
      <c r="F68" s="2">
        <v>0.02367941712204007</v>
      </c>
    </row>
    <row r="69" ht="15.0" customHeight="1">
      <c r="A69" s="2" t="s">
        <v>23</v>
      </c>
      <c r="B69" s="2" t="s">
        <v>49</v>
      </c>
      <c r="C69" s="2" t="s">
        <v>117</v>
      </c>
      <c r="D69" s="2">
        <v>48.0</v>
      </c>
      <c r="E69" s="2">
        <v>549.0</v>
      </c>
      <c r="F69" s="2">
        <v>0.08743169398907104</v>
      </c>
    </row>
    <row r="70" ht="15.0" customHeight="1">
      <c r="A70" s="2" t="s">
        <v>23</v>
      </c>
      <c r="B70" s="2" t="s">
        <v>51</v>
      </c>
      <c r="C70" s="2" t="s">
        <v>118</v>
      </c>
      <c r="D70" s="2">
        <v>124.0</v>
      </c>
      <c r="E70" s="2">
        <v>549.0</v>
      </c>
      <c r="F70" s="2">
        <v>0.2258652094717669</v>
      </c>
    </row>
    <row r="71" ht="15.0" customHeight="1">
      <c r="A71" s="2" t="s">
        <v>23</v>
      </c>
      <c r="B71" s="2" t="s">
        <v>53</v>
      </c>
      <c r="C71" s="2" t="s">
        <v>119</v>
      </c>
      <c r="D71" s="2">
        <v>48.0</v>
      </c>
      <c r="E71" s="2">
        <v>549.0</v>
      </c>
      <c r="F71" s="2">
        <v>0.08743169398907104</v>
      </c>
    </row>
    <row r="72" ht="15.0" customHeight="1">
      <c r="A72" s="2" t="s">
        <v>24</v>
      </c>
      <c r="B72" s="2" t="s">
        <v>45</v>
      </c>
      <c r="C72" s="2" t="s">
        <v>120</v>
      </c>
      <c r="D72" s="2">
        <v>807.0</v>
      </c>
      <c r="E72" s="2">
        <v>816.0</v>
      </c>
      <c r="F72" s="2">
        <v>0.9889705882352942</v>
      </c>
    </row>
    <row r="73" ht="15.0" customHeight="1">
      <c r="A73" s="2" t="s">
        <v>24</v>
      </c>
      <c r="B73" s="2" t="s">
        <v>47</v>
      </c>
      <c r="C73" s="2" t="s">
        <v>121</v>
      </c>
      <c r="D73" s="2">
        <v>807.0</v>
      </c>
      <c r="E73" s="2">
        <v>816.0</v>
      </c>
      <c r="F73" s="2">
        <v>0.9889705882352942</v>
      </c>
    </row>
    <row r="74" ht="15.0" customHeight="1">
      <c r="A74" s="2" t="s">
        <v>24</v>
      </c>
      <c r="B74" s="2" t="s">
        <v>49</v>
      </c>
      <c r="C74" s="2" t="s">
        <v>122</v>
      </c>
      <c r="D74" s="2">
        <v>807.0</v>
      </c>
      <c r="E74" s="2">
        <v>816.0</v>
      </c>
      <c r="F74" s="2">
        <v>0.9889705882352942</v>
      </c>
    </row>
    <row r="75" ht="15.0" customHeight="1">
      <c r="A75" s="2" t="s">
        <v>24</v>
      </c>
      <c r="B75" s="2" t="s">
        <v>51</v>
      </c>
      <c r="C75" s="2" t="s">
        <v>123</v>
      </c>
      <c r="D75" s="2">
        <v>807.0</v>
      </c>
      <c r="E75" s="2">
        <v>816.0</v>
      </c>
      <c r="F75" s="2">
        <v>0.9889705882352942</v>
      </c>
    </row>
    <row r="76" ht="15.0" customHeight="1">
      <c r="A76" s="2" t="s">
        <v>24</v>
      </c>
      <c r="B76" s="2" t="s">
        <v>53</v>
      </c>
      <c r="C76" s="2" t="s">
        <v>124</v>
      </c>
      <c r="D76" s="2">
        <v>807.0</v>
      </c>
      <c r="E76" s="2">
        <v>816.0</v>
      </c>
      <c r="F76" s="2">
        <v>0.9889705882352942</v>
      </c>
    </row>
    <row r="77" ht="15.0" customHeight="1">
      <c r="A77" s="2" t="s">
        <v>25</v>
      </c>
      <c r="B77" s="2" t="s">
        <v>45</v>
      </c>
      <c r="C77" s="2" t="s">
        <v>125</v>
      </c>
      <c r="D77" s="2">
        <v>0.0</v>
      </c>
      <c r="E77" s="2">
        <v>825.0</v>
      </c>
      <c r="F77" s="2">
        <v>0.0</v>
      </c>
    </row>
    <row r="78" ht="15.0" customHeight="1">
      <c r="A78" s="2" t="s">
        <v>25</v>
      </c>
      <c r="B78" s="2" t="s">
        <v>47</v>
      </c>
      <c r="C78" s="2" t="s">
        <v>126</v>
      </c>
      <c r="D78" s="2">
        <v>0.0</v>
      </c>
      <c r="E78" s="2">
        <v>825.0</v>
      </c>
      <c r="F78" s="2">
        <v>0.0</v>
      </c>
    </row>
    <row r="79" ht="15.0" customHeight="1">
      <c r="A79" s="2" t="s">
        <v>25</v>
      </c>
      <c r="B79" s="2" t="s">
        <v>49</v>
      </c>
      <c r="C79" s="2" t="s">
        <v>127</v>
      </c>
      <c r="D79" s="2">
        <v>124.0</v>
      </c>
      <c r="E79" s="2">
        <v>825.0</v>
      </c>
      <c r="F79" s="2">
        <v>0.1503030303030303</v>
      </c>
    </row>
    <row r="80" ht="15.0" customHeight="1">
      <c r="A80" s="2" t="s">
        <v>25</v>
      </c>
      <c r="B80" s="2" t="s">
        <v>51</v>
      </c>
      <c r="C80" s="2" t="s">
        <v>128</v>
      </c>
      <c r="D80" s="2">
        <v>0.0</v>
      </c>
      <c r="E80" s="2">
        <v>825.0</v>
      </c>
      <c r="F80" s="2">
        <v>0.0</v>
      </c>
    </row>
    <row r="81" ht="15.0" customHeight="1">
      <c r="A81" s="2" t="s">
        <v>25</v>
      </c>
      <c r="B81" s="2" t="s">
        <v>53</v>
      </c>
      <c r="C81" s="2" t="s">
        <v>129</v>
      </c>
      <c r="D81" s="2">
        <v>0.0</v>
      </c>
      <c r="E81" s="2">
        <v>825.0</v>
      </c>
      <c r="F81" s="2">
        <v>0.0</v>
      </c>
    </row>
    <row r="82" ht="15.0" customHeight="1">
      <c r="A82" s="2" t="s">
        <v>26</v>
      </c>
      <c r="B82" s="2" t="s">
        <v>45</v>
      </c>
      <c r="C82" s="2" t="s">
        <v>130</v>
      </c>
      <c r="D82" s="2">
        <v>86.0</v>
      </c>
      <c r="E82" s="2">
        <v>577.0</v>
      </c>
      <c r="F82" s="2">
        <v>0.1490467937608319</v>
      </c>
    </row>
    <row r="83" ht="15.0" customHeight="1">
      <c r="A83" s="2" t="s">
        <v>26</v>
      </c>
      <c r="B83" s="2" t="s">
        <v>47</v>
      </c>
      <c r="C83" s="2" t="s">
        <v>131</v>
      </c>
      <c r="D83" s="2">
        <v>86.0</v>
      </c>
      <c r="E83" s="2">
        <v>577.0</v>
      </c>
      <c r="F83" s="2">
        <v>0.1490467937608319</v>
      </c>
    </row>
    <row r="84" ht="15.0" customHeight="1">
      <c r="A84" s="2" t="s">
        <v>26</v>
      </c>
      <c r="B84" s="2" t="s">
        <v>49</v>
      </c>
      <c r="C84" s="2" t="s">
        <v>132</v>
      </c>
      <c r="D84" s="2">
        <v>115.0</v>
      </c>
      <c r="E84" s="2">
        <v>577.0</v>
      </c>
      <c r="F84" s="2">
        <v>0.1993067590987868</v>
      </c>
    </row>
    <row r="85" ht="15.0" customHeight="1">
      <c r="A85" s="2" t="s">
        <v>26</v>
      </c>
      <c r="B85" s="2" t="s">
        <v>51</v>
      </c>
      <c r="C85" s="2" t="s">
        <v>133</v>
      </c>
      <c r="D85" s="2">
        <v>92.0</v>
      </c>
      <c r="E85" s="2">
        <v>577.0</v>
      </c>
      <c r="F85" s="2">
        <v>0.1594454072790294</v>
      </c>
    </row>
    <row r="86" ht="15.0" customHeight="1">
      <c r="A86" s="2" t="s">
        <v>26</v>
      </c>
      <c r="B86" s="2" t="s">
        <v>53</v>
      </c>
      <c r="C86" s="2" t="s">
        <v>134</v>
      </c>
      <c r="D86" s="2">
        <v>92.0</v>
      </c>
      <c r="E86" s="2">
        <v>577.0</v>
      </c>
      <c r="F86" s="2">
        <v>0.1594454072790294</v>
      </c>
    </row>
    <row r="87" ht="15.0" customHeight="1">
      <c r="A87" s="2" t="s">
        <v>27</v>
      </c>
      <c r="B87" s="2" t="s">
        <v>45</v>
      </c>
      <c r="C87" s="2" t="s">
        <v>135</v>
      </c>
      <c r="D87" s="2">
        <v>50.0</v>
      </c>
      <c r="E87" s="2">
        <v>802.0</v>
      </c>
      <c r="F87" s="2">
        <v>0.06234413965087282</v>
      </c>
    </row>
    <row r="88" ht="15.0" customHeight="1">
      <c r="A88" s="2" t="s">
        <v>27</v>
      </c>
      <c r="B88" s="2" t="s">
        <v>47</v>
      </c>
      <c r="C88" s="2" t="s">
        <v>136</v>
      </c>
      <c r="D88" s="2">
        <v>2.0</v>
      </c>
      <c r="E88" s="2">
        <v>802.0</v>
      </c>
      <c r="F88" s="2">
        <v>0.002493765586034913</v>
      </c>
    </row>
    <row r="89" ht="15.0" customHeight="1">
      <c r="A89" s="2" t="s">
        <v>27</v>
      </c>
      <c r="B89" s="2" t="s">
        <v>49</v>
      </c>
      <c r="C89" s="2" t="s">
        <v>137</v>
      </c>
      <c r="D89" s="2">
        <v>1.0</v>
      </c>
      <c r="E89" s="2">
        <v>802.0</v>
      </c>
      <c r="F89" s="2">
        <v>0.001246882793017456</v>
      </c>
    </row>
    <row r="90" ht="15.0" customHeight="1">
      <c r="A90" s="2" t="s">
        <v>27</v>
      </c>
      <c r="B90" s="2" t="s">
        <v>51</v>
      </c>
      <c r="C90" s="2" t="s">
        <v>138</v>
      </c>
      <c r="D90" s="2">
        <v>0.0</v>
      </c>
      <c r="E90" s="2">
        <v>802.0</v>
      </c>
      <c r="F90" s="2">
        <v>0.0</v>
      </c>
    </row>
    <row r="91" ht="15.0" customHeight="1">
      <c r="A91" s="2" t="s">
        <v>27</v>
      </c>
      <c r="B91" s="2" t="s">
        <v>53</v>
      </c>
      <c r="C91" s="2" t="s">
        <v>139</v>
      </c>
      <c r="D91" s="2">
        <v>433.0</v>
      </c>
      <c r="E91" s="2">
        <v>802.0</v>
      </c>
      <c r="F91" s="2">
        <v>0.5399002493765586</v>
      </c>
    </row>
    <row r="92" ht="15.0" customHeight="1">
      <c r="A92" s="2" t="s">
        <v>28</v>
      </c>
      <c r="B92" s="2" t="s">
        <v>45</v>
      </c>
      <c r="C92" s="2" t="s">
        <v>140</v>
      </c>
      <c r="D92" s="2">
        <v>778.0</v>
      </c>
      <c r="E92" s="2">
        <v>784.0</v>
      </c>
      <c r="F92" s="2">
        <v>0.9923469387755102</v>
      </c>
    </row>
    <row r="93" ht="15.0" customHeight="1">
      <c r="A93" s="2" t="s">
        <v>28</v>
      </c>
      <c r="B93" s="2" t="s">
        <v>47</v>
      </c>
      <c r="C93" s="2" t="s">
        <v>141</v>
      </c>
      <c r="D93" s="2">
        <v>777.0</v>
      </c>
      <c r="E93" s="2">
        <v>784.0</v>
      </c>
      <c r="F93" s="2">
        <v>0.9910714285714286</v>
      </c>
    </row>
    <row r="94" ht="15.0" customHeight="1">
      <c r="A94" s="2" t="s">
        <v>28</v>
      </c>
      <c r="B94" s="2" t="s">
        <v>49</v>
      </c>
      <c r="C94" s="2" t="s">
        <v>142</v>
      </c>
      <c r="D94" s="2">
        <v>766.0</v>
      </c>
      <c r="E94" s="2">
        <v>784.0</v>
      </c>
      <c r="F94" s="2">
        <v>0.9770408163265306</v>
      </c>
    </row>
    <row r="95" ht="15.0" customHeight="1">
      <c r="A95" s="2" t="s">
        <v>28</v>
      </c>
      <c r="B95" s="2" t="s">
        <v>51</v>
      </c>
      <c r="C95" s="2" t="s">
        <v>143</v>
      </c>
      <c r="D95" s="2">
        <v>765.0</v>
      </c>
      <c r="E95" s="2">
        <v>784.0</v>
      </c>
      <c r="F95" s="2">
        <v>0.9757653061224489</v>
      </c>
    </row>
    <row r="96" ht="15.0" customHeight="1">
      <c r="A96" s="2" t="s">
        <v>28</v>
      </c>
      <c r="B96" s="2" t="s">
        <v>53</v>
      </c>
      <c r="C96" s="2" t="s">
        <v>144</v>
      </c>
      <c r="D96" s="2">
        <v>780.0</v>
      </c>
      <c r="E96" s="2">
        <v>784.0</v>
      </c>
      <c r="F96" s="2">
        <v>0.9948979591836735</v>
      </c>
    </row>
    <row r="97" ht="15.0" customHeight="1">
      <c r="A97" s="2" t="s">
        <v>29</v>
      </c>
      <c r="B97" s="2" t="s">
        <v>45</v>
      </c>
      <c r="C97" s="2" t="s">
        <v>145</v>
      </c>
      <c r="D97" s="2">
        <v>366.0</v>
      </c>
      <c r="E97" s="2">
        <v>717.0</v>
      </c>
      <c r="F97" s="2">
        <v>0.5104602510460251</v>
      </c>
    </row>
    <row r="98" ht="15.0" customHeight="1">
      <c r="A98" s="2" t="s">
        <v>29</v>
      </c>
      <c r="B98" s="2" t="s">
        <v>47</v>
      </c>
      <c r="C98" s="2" t="s">
        <v>146</v>
      </c>
      <c r="D98" s="2">
        <v>31.0</v>
      </c>
      <c r="E98" s="2">
        <v>717.0</v>
      </c>
      <c r="F98" s="2">
        <v>0.04323570432357043</v>
      </c>
    </row>
    <row r="99" ht="15.0" customHeight="1">
      <c r="A99" s="2" t="s">
        <v>29</v>
      </c>
      <c r="B99" s="2" t="s">
        <v>49</v>
      </c>
      <c r="C99" s="2" t="s">
        <v>147</v>
      </c>
      <c r="D99" s="2">
        <v>366.0</v>
      </c>
      <c r="E99" s="2">
        <v>717.0</v>
      </c>
      <c r="F99" s="2">
        <v>0.5104602510460251</v>
      </c>
    </row>
    <row r="100" ht="15.0" customHeight="1">
      <c r="A100" s="2" t="s">
        <v>29</v>
      </c>
      <c r="B100" s="2" t="s">
        <v>51</v>
      </c>
      <c r="C100" s="2" t="s">
        <v>148</v>
      </c>
      <c r="D100" s="2">
        <v>238.0</v>
      </c>
      <c r="E100" s="2">
        <v>717.0</v>
      </c>
      <c r="F100" s="2">
        <v>0.3319386331938633</v>
      </c>
    </row>
    <row r="101" ht="15.0" customHeight="1">
      <c r="A101" s="2" t="s">
        <v>29</v>
      </c>
      <c r="B101" s="2" t="s">
        <v>53</v>
      </c>
      <c r="C101" s="2" t="s">
        <v>149</v>
      </c>
      <c r="D101" s="2">
        <v>35.0</v>
      </c>
      <c r="E101" s="2">
        <v>717.0</v>
      </c>
      <c r="F101" s="2">
        <v>0.04881450488145049</v>
      </c>
    </row>
    <row r="102" ht="15.0" customHeight="1">
      <c r="A102" s="2" t="s">
        <v>30</v>
      </c>
      <c r="B102" s="2" t="s">
        <v>45</v>
      </c>
      <c r="C102" s="2" t="s">
        <v>150</v>
      </c>
      <c r="D102" s="2">
        <v>154.0</v>
      </c>
      <c r="E102" s="2">
        <v>510.0</v>
      </c>
      <c r="F102" s="2">
        <v>0.3019607843137255</v>
      </c>
    </row>
    <row r="103" ht="15.0" customHeight="1">
      <c r="A103" s="2" t="s">
        <v>30</v>
      </c>
      <c r="B103" s="2" t="s">
        <v>47</v>
      </c>
      <c r="C103" s="2" t="s">
        <v>151</v>
      </c>
      <c r="D103" s="2">
        <v>163.0</v>
      </c>
      <c r="E103" s="2">
        <v>510.0</v>
      </c>
      <c r="F103" s="2">
        <v>0.3196078431372549</v>
      </c>
    </row>
    <row r="104" ht="15.0" customHeight="1">
      <c r="A104" s="2" t="s">
        <v>30</v>
      </c>
      <c r="B104" s="2" t="s">
        <v>49</v>
      </c>
      <c r="C104" s="2" t="s">
        <v>152</v>
      </c>
      <c r="D104" s="2">
        <v>107.0</v>
      </c>
      <c r="E104" s="2">
        <v>510.0</v>
      </c>
      <c r="F104" s="2">
        <v>0.2098039215686275</v>
      </c>
    </row>
    <row r="105" ht="15.0" customHeight="1">
      <c r="A105" s="2" t="s">
        <v>30</v>
      </c>
      <c r="B105" s="2" t="s">
        <v>51</v>
      </c>
      <c r="C105" s="2" t="s">
        <v>153</v>
      </c>
      <c r="D105" s="2">
        <v>0.0</v>
      </c>
      <c r="E105" s="2">
        <v>510.0</v>
      </c>
      <c r="F105" s="2">
        <v>0.0</v>
      </c>
    </row>
    <row r="106" ht="15.0" customHeight="1">
      <c r="A106" s="2" t="s">
        <v>30</v>
      </c>
      <c r="B106" s="2" t="s">
        <v>53</v>
      </c>
      <c r="C106" s="2" t="s">
        <v>154</v>
      </c>
      <c r="D106" s="2">
        <v>154.0</v>
      </c>
      <c r="E106" s="2">
        <v>510.0</v>
      </c>
      <c r="F106" s="2">
        <v>0.3019607843137255</v>
      </c>
    </row>
    <row r="107" ht="15.0" customHeight="1">
      <c r="A107" s="2" t="s">
        <v>31</v>
      </c>
      <c r="B107" s="2" t="s">
        <v>45</v>
      </c>
      <c r="C107" s="2" t="s">
        <v>155</v>
      </c>
      <c r="D107" s="2">
        <v>591.0</v>
      </c>
      <c r="E107" s="2">
        <v>596.0</v>
      </c>
      <c r="F107" s="2">
        <v>0.9916107382550335</v>
      </c>
    </row>
    <row r="108" ht="15.0" customHeight="1">
      <c r="A108" s="2" t="s">
        <v>31</v>
      </c>
      <c r="B108" s="2" t="s">
        <v>47</v>
      </c>
      <c r="C108" s="2" t="s">
        <v>156</v>
      </c>
      <c r="D108" s="2">
        <v>591.0</v>
      </c>
      <c r="E108" s="2">
        <v>596.0</v>
      </c>
      <c r="F108" s="2">
        <v>0.9916107382550335</v>
      </c>
    </row>
    <row r="109" ht="15.0" customHeight="1">
      <c r="A109" s="2" t="s">
        <v>31</v>
      </c>
      <c r="B109" s="2" t="s">
        <v>49</v>
      </c>
      <c r="C109" s="2" t="s">
        <v>157</v>
      </c>
      <c r="D109" s="2">
        <v>591.0</v>
      </c>
      <c r="E109" s="2">
        <v>596.0</v>
      </c>
      <c r="F109" s="2">
        <v>0.9916107382550335</v>
      </c>
    </row>
    <row r="110" ht="15.0" customHeight="1">
      <c r="A110" s="2" t="s">
        <v>31</v>
      </c>
      <c r="B110" s="2" t="s">
        <v>51</v>
      </c>
      <c r="C110" s="2" t="s">
        <v>158</v>
      </c>
      <c r="D110" s="2">
        <v>591.0</v>
      </c>
      <c r="E110" s="2">
        <v>596.0</v>
      </c>
      <c r="F110" s="2">
        <v>0.9916107382550335</v>
      </c>
    </row>
    <row r="111" ht="15.0" customHeight="1">
      <c r="A111" s="2" t="s">
        <v>31</v>
      </c>
      <c r="B111" s="2" t="s">
        <v>53</v>
      </c>
      <c r="C111" s="2" t="s">
        <v>159</v>
      </c>
      <c r="D111" s="2">
        <v>591.0</v>
      </c>
      <c r="E111" s="2">
        <v>596.0</v>
      </c>
      <c r="F111" s="2">
        <v>0.9916107382550335</v>
      </c>
    </row>
    <row r="112" ht="15.0" customHeight="1">
      <c r="A112" s="2" t="s">
        <v>32</v>
      </c>
      <c r="B112" s="2" t="s">
        <v>45</v>
      </c>
      <c r="C112" s="2" t="s">
        <v>160</v>
      </c>
      <c r="D112" s="2">
        <v>163.0</v>
      </c>
      <c r="E112" s="2">
        <v>668.0</v>
      </c>
      <c r="F112" s="2">
        <v>0.2440119760479042</v>
      </c>
    </row>
    <row r="113" ht="15.0" customHeight="1">
      <c r="A113" s="2" t="s">
        <v>32</v>
      </c>
      <c r="B113" s="2" t="s">
        <v>47</v>
      </c>
      <c r="C113" s="2" t="s">
        <v>161</v>
      </c>
      <c r="D113" s="2">
        <v>163.0</v>
      </c>
      <c r="E113" s="2">
        <v>668.0</v>
      </c>
      <c r="F113" s="2">
        <v>0.2440119760479042</v>
      </c>
    </row>
    <row r="114" ht="15.0" customHeight="1">
      <c r="A114" s="2" t="s">
        <v>32</v>
      </c>
      <c r="B114" s="2" t="s">
        <v>49</v>
      </c>
      <c r="C114" s="2" t="s">
        <v>162</v>
      </c>
      <c r="D114" s="2">
        <v>249.0</v>
      </c>
      <c r="E114" s="2">
        <v>668.0</v>
      </c>
      <c r="F114" s="2">
        <v>0.3727544910179641</v>
      </c>
    </row>
    <row r="115" ht="15.0" customHeight="1">
      <c r="A115" s="2" t="s">
        <v>32</v>
      </c>
      <c r="B115" s="2" t="s">
        <v>51</v>
      </c>
      <c r="C115" s="2" t="s">
        <v>163</v>
      </c>
      <c r="D115" s="2">
        <v>163.0</v>
      </c>
      <c r="E115" s="2">
        <v>668.0</v>
      </c>
      <c r="F115" s="2">
        <v>0.2440119760479042</v>
      </c>
    </row>
    <row r="116" ht="15.0" customHeight="1">
      <c r="A116" s="2" t="s">
        <v>32</v>
      </c>
      <c r="B116" s="2" t="s">
        <v>53</v>
      </c>
      <c r="C116" s="2" t="s">
        <v>164</v>
      </c>
      <c r="D116" s="2">
        <v>97.0</v>
      </c>
      <c r="E116" s="2">
        <v>668.0</v>
      </c>
      <c r="F116" s="2">
        <v>0.1452095808383234</v>
      </c>
    </row>
    <row r="117" ht="15.0" customHeight="1">
      <c r="A117" s="2" t="s">
        <v>33</v>
      </c>
      <c r="B117" s="2" t="s">
        <v>45</v>
      </c>
      <c r="C117" s="2" t="s">
        <v>165</v>
      </c>
      <c r="D117" s="2">
        <v>775.0</v>
      </c>
      <c r="E117" s="2">
        <v>792.0</v>
      </c>
      <c r="F117" s="2">
        <v>0.9785353535353535</v>
      </c>
    </row>
    <row r="118" ht="15.0" customHeight="1">
      <c r="A118" s="2" t="s">
        <v>33</v>
      </c>
      <c r="B118" s="2" t="s">
        <v>47</v>
      </c>
      <c r="C118" s="2" t="s">
        <v>166</v>
      </c>
      <c r="D118" s="2">
        <v>775.0</v>
      </c>
      <c r="E118" s="2">
        <v>792.0</v>
      </c>
      <c r="F118" s="2">
        <v>0.9785353535353535</v>
      </c>
    </row>
    <row r="119" ht="15.0" customHeight="1">
      <c r="A119" s="2" t="s">
        <v>33</v>
      </c>
      <c r="B119" s="2" t="s">
        <v>49</v>
      </c>
      <c r="C119" s="2" t="s">
        <v>167</v>
      </c>
      <c r="D119" s="2">
        <v>775.0</v>
      </c>
      <c r="E119" s="2">
        <v>792.0</v>
      </c>
      <c r="F119" s="2">
        <v>0.9785353535353535</v>
      </c>
    </row>
    <row r="120" ht="15.0" customHeight="1">
      <c r="A120" s="2" t="s">
        <v>33</v>
      </c>
      <c r="B120" s="2" t="s">
        <v>51</v>
      </c>
      <c r="C120" s="2" t="s">
        <v>168</v>
      </c>
      <c r="D120" s="2">
        <v>775.0</v>
      </c>
      <c r="E120" s="2">
        <v>792.0</v>
      </c>
      <c r="F120" s="2">
        <v>0.9785353535353535</v>
      </c>
    </row>
    <row r="121" ht="15.0" customHeight="1">
      <c r="A121" s="2" t="s">
        <v>33</v>
      </c>
      <c r="B121" s="2" t="s">
        <v>53</v>
      </c>
      <c r="C121" s="2" t="s">
        <v>169</v>
      </c>
      <c r="D121" s="2">
        <v>775.0</v>
      </c>
      <c r="E121" s="2">
        <v>792.0</v>
      </c>
      <c r="F121" s="2">
        <v>0.9785353535353535</v>
      </c>
    </row>
    <row r="122" ht="15.0" customHeight="1">
      <c r="A122" s="2" t="s">
        <v>34</v>
      </c>
      <c r="B122" s="2" t="s">
        <v>45</v>
      </c>
      <c r="C122" s="2" t="s">
        <v>170</v>
      </c>
      <c r="D122" s="2">
        <v>133.0</v>
      </c>
      <c r="E122" s="2">
        <v>911.0</v>
      </c>
      <c r="F122" s="2">
        <v>0.145993413830955</v>
      </c>
    </row>
    <row r="123" ht="15.0" customHeight="1">
      <c r="A123" s="2" t="s">
        <v>34</v>
      </c>
      <c r="B123" s="2" t="s">
        <v>47</v>
      </c>
      <c r="C123" s="2" t="s">
        <v>171</v>
      </c>
      <c r="D123" s="2">
        <v>133.0</v>
      </c>
      <c r="E123" s="2">
        <v>911.0</v>
      </c>
      <c r="F123" s="2">
        <v>0.145993413830955</v>
      </c>
    </row>
    <row r="124" ht="15.0" customHeight="1">
      <c r="A124" s="2" t="s">
        <v>34</v>
      </c>
      <c r="B124" s="2" t="s">
        <v>49</v>
      </c>
      <c r="C124" s="2" t="s">
        <v>172</v>
      </c>
      <c r="D124" s="2">
        <v>133.0</v>
      </c>
      <c r="E124" s="2">
        <v>911.0</v>
      </c>
      <c r="F124" s="2">
        <v>0.145993413830955</v>
      </c>
    </row>
    <row r="125" ht="15.0" customHeight="1">
      <c r="A125" s="2" t="s">
        <v>34</v>
      </c>
      <c r="B125" s="2" t="s">
        <v>51</v>
      </c>
      <c r="C125" s="2" t="s">
        <v>173</v>
      </c>
      <c r="D125" s="2">
        <v>133.0</v>
      </c>
      <c r="E125" s="2">
        <v>911.0</v>
      </c>
      <c r="F125" s="2">
        <v>0.145993413830955</v>
      </c>
    </row>
    <row r="126" ht="15.0" customHeight="1">
      <c r="A126" s="2" t="s">
        <v>34</v>
      </c>
      <c r="B126" s="2" t="s">
        <v>53</v>
      </c>
      <c r="C126" s="2" t="s">
        <v>174</v>
      </c>
      <c r="D126" s="2">
        <v>133.0</v>
      </c>
      <c r="E126" s="2">
        <v>911.0</v>
      </c>
      <c r="F126" s="2">
        <v>0.145993413830955</v>
      </c>
    </row>
    <row r="127" ht="15.0" customHeight="1">
      <c r="A127" s="2" t="s">
        <v>35</v>
      </c>
      <c r="B127" s="2" t="s">
        <v>45</v>
      </c>
      <c r="C127" s="2" t="s">
        <v>175</v>
      </c>
      <c r="D127" s="2">
        <v>69.0</v>
      </c>
      <c r="E127" s="2">
        <v>550.0</v>
      </c>
      <c r="F127" s="2">
        <v>0.1254545454545455</v>
      </c>
    </row>
    <row r="128" ht="15.0" customHeight="1">
      <c r="A128" s="2" t="s">
        <v>35</v>
      </c>
      <c r="B128" s="2" t="s">
        <v>47</v>
      </c>
      <c r="C128" s="2" t="s">
        <v>176</v>
      </c>
      <c r="D128" s="2">
        <v>16.0</v>
      </c>
      <c r="E128" s="2">
        <v>550.0</v>
      </c>
      <c r="F128" s="2">
        <v>0.02909090909090909</v>
      </c>
    </row>
    <row r="129" ht="15.0" customHeight="1">
      <c r="A129" s="2" t="s">
        <v>35</v>
      </c>
      <c r="B129" s="2" t="s">
        <v>49</v>
      </c>
      <c r="C129" s="2" t="s">
        <v>177</v>
      </c>
      <c r="D129" s="2">
        <v>17.0</v>
      </c>
      <c r="E129" s="2">
        <v>550.0</v>
      </c>
      <c r="F129" s="2">
        <v>0.03090909090909091</v>
      </c>
    </row>
    <row r="130" ht="15.0" customHeight="1">
      <c r="A130" s="2" t="s">
        <v>35</v>
      </c>
      <c r="B130" s="2" t="s">
        <v>51</v>
      </c>
      <c r="C130" s="2" t="s">
        <v>178</v>
      </c>
      <c r="D130" s="2">
        <v>10.0</v>
      </c>
      <c r="E130" s="2">
        <v>550.0</v>
      </c>
      <c r="F130" s="2">
        <v>0.01818181818181818</v>
      </c>
    </row>
    <row r="131" ht="15.0" customHeight="1">
      <c r="A131" s="2" t="s">
        <v>35</v>
      </c>
      <c r="B131" s="2" t="s">
        <v>53</v>
      </c>
      <c r="C131" s="2" t="s">
        <v>179</v>
      </c>
      <c r="D131" s="2">
        <v>10.0</v>
      </c>
      <c r="E131" s="2">
        <v>550.0</v>
      </c>
      <c r="F131" s="2">
        <v>0.01818181818181818</v>
      </c>
    </row>
    <row r="132" ht="15.0" customHeight="1">
      <c r="A132" s="2" t="s">
        <v>36</v>
      </c>
      <c r="B132" s="2" t="s">
        <v>45</v>
      </c>
      <c r="C132" s="2" t="s">
        <v>180</v>
      </c>
      <c r="D132" s="2">
        <v>177.0</v>
      </c>
      <c r="E132" s="2">
        <v>822.0</v>
      </c>
      <c r="F132" s="2">
        <v>0.2153284671532847</v>
      </c>
    </row>
    <row r="133" ht="15.0" customHeight="1">
      <c r="A133" s="2" t="s">
        <v>36</v>
      </c>
      <c r="B133" s="2" t="s">
        <v>47</v>
      </c>
      <c r="C133" s="2" t="s">
        <v>181</v>
      </c>
      <c r="D133" s="2">
        <v>467.0</v>
      </c>
      <c r="E133" s="2">
        <v>822.0</v>
      </c>
      <c r="F133" s="2">
        <v>0.5681265206812652</v>
      </c>
    </row>
    <row r="134" ht="15.0" customHeight="1">
      <c r="A134" s="2" t="s">
        <v>36</v>
      </c>
      <c r="B134" s="2" t="s">
        <v>49</v>
      </c>
      <c r="C134" s="2" t="s">
        <v>182</v>
      </c>
      <c r="D134" s="2">
        <v>602.0</v>
      </c>
      <c r="E134" s="2">
        <v>822.0</v>
      </c>
      <c r="F134" s="2">
        <v>0.732360097323601</v>
      </c>
    </row>
    <row r="135" ht="15.0" customHeight="1">
      <c r="A135" s="2" t="s">
        <v>36</v>
      </c>
      <c r="B135" s="2" t="s">
        <v>51</v>
      </c>
      <c r="C135" s="2" t="s">
        <v>183</v>
      </c>
      <c r="D135" s="2">
        <v>220.0</v>
      </c>
      <c r="E135" s="2">
        <v>822.0</v>
      </c>
      <c r="F135" s="2">
        <v>0.267639902676399</v>
      </c>
    </row>
    <row r="136" ht="15.0" customHeight="1">
      <c r="A136" s="2" t="s">
        <v>36</v>
      </c>
      <c r="B136" s="2" t="s">
        <v>53</v>
      </c>
      <c r="C136" s="2" t="s">
        <v>184</v>
      </c>
      <c r="D136" s="2">
        <v>435.0</v>
      </c>
      <c r="E136" s="2">
        <v>822.0</v>
      </c>
      <c r="F136" s="2">
        <v>0.5291970802919708</v>
      </c>
    </row>
    <row r="137" ht="15.0" customHeight="1">
      <c r="A137" s="2" t="s">
        <v>37</v>
      </c>
      <c r="B137" s="2" t="s">
        <v>45</v>
      </c>
      <c r="C137" s="2" t="s">
        <v>185</v>
      </c>
      <c r="D137" s="2">
        <v>0.0</v>
      </c>
      <c r="E137" s="2">
        <v>549.0</v>
      </c>
      <c r="F137" s="2">
        <v>0.0</v>
      </c>
    </row>
    <row r="138" ht="15.0" customHeight="1">
      <c r="A138" s="2" t="s">
        <v>37</v>
      </c>
      <c r="B138" s="2" t="s">
        <v>47</v>
      </c>
      <c r="C138" s="2" t="s">
        <v>186</v>
      </c>
      <c r="D138" s="2">
        <v>0.0</v>
      </c>
      <c r="E138" s="2">
        <v>549.0</v>
      </c>
      <c r="F138" s="2">
        <v>0.0</v>
      </c>
    </row>
    <row r="139" ht="15.0" customHeight="1">
      <c r="A139" s="2" t="s">
        <v>37</v>
      </c>
      <c r="B139" s="2" t="s">
        <v>49</v>
      </c>
      <c r="C139" s="2" t="s">
        <v>187</v>
      </c>
      <c r="D139" s="2">
        <v>0.0</v>
      </c>
      <c r="E139" s="2">
        <v>549.0</v>
      </c>
      <c r="F139" s="2">
        <v>0.0</v>
      </c>
    </row>
    <row r="140" ht="15.0" customHeight="1">
      <c r="A140" s="2" t="s">
        <v>37</v>
      </c>
      <c r="B140" s="2" t="s">
        <v>51</v>
      </c>
      <c r="C140" s="2" t="s">
        <v>188</v>
      </c>
      <c r="D140" s="2">
        <v>0.0</v>
      </c>
      <c r="E140" s="2">
        <v>549.0</v>
      </c>
      <c r="F140" s="2">
        <v>0.0</v>
      </c>
    </row>
    <row r="141" ht="15.0" customHeight="1">
      <c r="A141" s="2" t="s">
        <v>37</v>
      </c>
      <c r="B141" s="2" t="s">
        <v>53</v>
      </c>
      <c r="C141" s="2" t="s">
        <v>189</v>
      </c>
      <c r="D141" s="2">
        <v>3.0</v>
      </c>
      <c r="E141" s="2">
        <v>549.0</v>
      </c>
      <c r="F141" s="2">
        <v>0.00546448087431694</v>
      </c>
    </row>
    <row r="142" ht="15.0" customHeight="1">
      <c r="A142" s="2" t="s">
        <v>38</v>
      </c>
      <c r="B142" s="2" t="s">
        <v>45</v>
      </c>
      <c r="C142" s="2" t="s">
        <v>190</v>
      </c>
      <c r="D142" s="2">
        <v>174.0</v>
      </c>
      <c r="E142" s="2">
        <v>691.0</v>
      </c>
      <c r="F142" s="2">
        <v>0.2518089725036179</v>
      </c>
    </row>
    <row r="143" ht="15.0" customHeight="1">
      <c r="A143" s="2" t="s">
        <v>38</v>
      </c>
      <c r="B143" s="2" t="s">
        <v>47</v>
      </c>
      <c r="C143" s="2" t="s">
        <v>191</v>
      </c>
      <c r="D143" s="2">
        <v>2.0</v>
      </c>
      <c r="E143" s="2">
        <v>691.0</v>
      </c>
      <c r="F143" s="2">
        <v>0.002894356005788712</v>
      </c>
    </row>
    <row r="144" ht="15.0" customHeight="1">
      <c r="A144" s="2" t="s">
        <v>38</v>
      </c>
      <c r="B144" s="2" t="s">
        <v>49</v>
      </c>
      <c r="C144" s="2" t="s">
        <v>192</v>
      </c>
      <c r="D144" s="2">
        <v>224.0</v>
      </c>
      <c r="E144" s="2">
        <v>691.0</v>
      </c>
      <c r="F144" s="2">
        <v>0.3241678726483357</v>
      </c>
    </row>
    <row r="145" ht="15.0" customHeight="1">
      <c r="A145" s="2" t="s">
        <v>38</v>
      </c>
      <c r="B145" s="2" t="s">
        <v>51</v>
      </c>
      <c r="C145" s="2" t="s">
        <v>193</v>
      </c>
      <c r="D145" s="2">
        <v>1.0</v>
      </c>
      <c r="E145" s="2">
        <v>691.0</v>
      </c>
      <c r="F145" s="2">
        <v>0.001447178002894356</v>
      </c>
    </row>
    <row r="146" ht="15.0" customHeight="1">
      <c r="A146" s="2" t="s">
        <v>38</v>
      </c>
      <c r="B146" s="2" t="s">
        <v>53</v>
      </c>
      <c r="C146" s="2" t="s">
        <v>194</v>
      </c>
      <c r="D146" s="2">
        <v>224.0</v>
      </c>
      <c r="E146" s="2">
        <v>691.0</v>
      </c>
      <c r="F146" s="2">
        <v>0.3241678726483357</v>
      </c>
    </row>
    <row r="147" ht="15.0" customHeight="1">
      <c r="A147" s="2" t="s">
        <v>39</v>
      </c>
      <c r="B147" s="2" t="s">
        <v>45</v>
      </c>
      <c r="C147" s="2" t="s">
        <v>195</v>
      </c>
      <c r="D147" s="2">
        <v>230.0</v>
      </c>
      <c r="E147" s="2">
        <v>237.0</v>
      </c>
      <c r="F147" s="2">
        <v>0.9704641350210971</v>
      </c>
    </row>
    <row r="148" ht="15.0" customHeight="1">
      <c r="A148" s="2" t="s">
        <v>39</v>
      </c>
      <c r="B148" s="2" t="s">
        <v>47</v>
      </c>
      <c r="C148" s="2" t="s">
        <v>196</v>
      </c>
      <c r="D148" s="2">
        <v>230.0</v>
      </c>
      <c r="E148" s="2">
        <v>237.0</v>
      </c>
      <c r="F148" s="2">
        <v>0.9704641350210971</v>
      </c>
    </row>
    <row r="149" ht="15.0" customHeight="1">
      <c r="A149" s="2" t="s">
        <v>39</v>
      </c>
      <c r="B149" s="2" t="s">
        <v>49</v>
      </c>
      <c r="C149" s="2" t="s">
        <v>197</v>
      </c>
      <c r="D149" s="2">
        <v>230.0</v>
      </c>
      <c r="E149" s="2">
        <v>237.0</v>
      </c>
      <c r="F149" s="2">
        <v>0.9704641350210971</v>
      </c>
    </row>
    <row r="150" ht="15.0" customHeight="1">
      <c r="A150" s="2" t="s">
        <v>39</v>
      </c>
      <c r="B150" s="2" t="s">
        <v>51</v>
      </c>
      <c r="C150" s="2" t="s">
        <v>198</v>
      </c>
      <c r="D150" s="2">
        <v>230.0</v>
      </c>
      <c r="E150" s="2">
        <v>237.0</v>
      </c>
      <c r="F150" s="2">
        <v>0.9704641350210971</v>
      </c>
    </row>
    <row r="151" ht="15.0" customHeight="1">
      <c r="A151" s="2" t="s">
        <v>39</v>
      </c>
      <c r="B151" s="2" t="s">
        <v>53</v>
      </c>
      <c r="C151" s="2" t="s">
        <v>199</v>
      </c>
      <c r="D151" s="2">
        <v>217.0</v>
      </c>
      <c r="E151" s="2">
        <v>237.0</v>
      </c>
      <c r="F151" s="2">
        <v>0.9156118143459916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2024-05-25T13:18:49Z</dcterms:created>
  <dc:creator>openpyxl</dc:creator>
</cp:coreProperties>
</file>